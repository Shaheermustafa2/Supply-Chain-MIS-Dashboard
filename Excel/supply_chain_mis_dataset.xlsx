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S:\DATA_ANALYSIS_Projects\MIS project\"/>
    </mc:Choice>
  </mc:AlternateContent>
  <xr:revisionPtr revIDLastSave="0" documentId="13_ncr:1_{6BF5CF5E-7AB4-43C5-8D37-056649C3BD46}"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Pivot_Analysis" sheetId="2" r:id="rId2"/>
    <sheet name="Dashbboard" sheetId="3" r:id="rId3"/>
  </sheets>
  <definedNames>
    <definedName name="Slicer_Region">#N/A</definedName>
    <definedName name="Slicer_Suppli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3" i="2" l="1"/>
  <c r="H42" i="2"/>
  <c r="H41" i="2"/>
  <c r="H40"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8" i="1"/>
  <c r="M9" i="1"/>
  <c r="M10" i="1"/>
  <c r="M11" i="1"/>
  <c r="M12" i="1"/>
  <c r="M13" i="1"/>
  <c r="M14" i="1"/>
  <c r="M15" i="1"/>
  <c r="M16" i="1"/>
  <c r="M17" i="1"/>
  <c r="M18" i="1"/>
  <c r="M19" i="1"/>
  <c r="M20" i="1"/>
  <c r="M3" i="1"/>
  <c r="M4" i="1"/>
  <c r="M5" i="1"/>
  <c r="M6" i="1"/>
  <c r="M7" i="1"/>
  <c r="M2" i="1"/>
</calcChain>
</file>

<file path=xl/sharedStrings.xml><?xml version="1.0" encoding="utf-8"?>
<sst xmlns="http://schemas.openxmlformats.org/spreadsheetml/2006/main" count="6062" uniqueCount="1069">
  <si>
    <t>Order_ID</t>
  </si>
  <si>
    <t>Order_Date</t>
  </si>
  <si>
    <t>Region</t>
  </si>
  <si>
    <t>Product_Category</t>
  </si>
  <si>
    <t>Product_Name</t>
  </si>
  <si>
    <t>Supplier</t>
  </si>
  <si>
    <t>Quantity</t>
  </si>
  <si>
    <t>Unit_Price</t>
  </si>
  <si>
    <t>Revenue</t>
  </si>
  <si>
    <t>Stock_Available</t>
  </si>
  <si>
    <t>Delivery_Days</t>
  </si>
  <si>
    <t>Delivery_Status</t>
  </si>
  <si>
    <t>ORD0001</t>
  </si>
  <si>
    <t>West</t>
  </si>
  <si>
    <t>Apparel</t>
  </si>
  <si>
    <t>Jacket</t>
  </si>
  <si>
    <t>Supplier A</t>
  </si>
  <si>
    <t>Delayed</t>
  </si>
  <si>
    <t>ORD0002</t>
  </si>
  <si>
    <t>North</t>
  </si>
  <si>
    <t>T-Shirt</t>
  </si>
  <si>
    <t>Supplier D</t>
  </si>
  <si>
    <t>On Time</t>
  </si>
  <si>
    <t>ORD0003</t>
  </si>
  <si>
    <t>Supplier B</t>
  </si>
  <si>
    <t>ORD0004</t>
  </si>
  <si>
    <t>South</t>
  </si>
  <si>
    <t>Electronics</t>
  </si>
  <si>
    <t>Mouse</t>
  </si>
  <si>
    <t>Supplier C</t>
  </si>
  <si>
    <t>ORD0005</t>
  </si>
  <si>
    <t>Furniture</t>
  </si>
  <si>
    <t>Table</t>
  </si>
  <si>
    <t>ORD0006</t>
  </si>
  <si>
    <t>Keyboard</t>
  </si>
  <si>
    <t>ORD0007</t>
  </si>
  <si>
    <t>ORD0008</t>
  </si>
  <si>
    <t>ORD0009</t>
  </si>
  <si>
    <t>East</t>
  </si>
  <si>
    <t>ORD0010</t>
  </si>
  <si>
    <t>Desk</t>
  </si>
  <si>
    <t>ORD0011</t>
  </si>
  <si>
    <t>Cap</t>
  </si>
  <si>
    <t>ORD0012</t>
  </si>
  <si>
    <t>ORD0013</t>
  </si>
  <si>
    <t>Chair</t>
  </si>
  <si>
    <t>ORD0014</t>
  </si>
  <si>
    <t>ORD0015</t>
  </si>
  <si>
    <t>ORD0016</t>
  </si>
  <si>
    <t>ORD0017</t>
  </si>
  <si>
    <t>ORD0018</t>
  </si>
  <si>
    <t>Office Supplies</t>
  </si>
  <si>
    <t>Printer Paper</t>
  </si>
  <si>
    <t>ORD0019</t>
  </si>
  <si>
    <t>ORD0020</t>
  </si>
  <si>
    <t>ORD0021</t>
  </si>
  <si>
    <t>Notebook</t>
  </si>
  <si>
    <t>ORD0022</t>
  </si>
  <si>
    <t>Hoodie</t>
  </si>
  <si>
    <t>ORD0023</t>
  </si>
  <si>
    <t>ORD0024</t>
  </si>
  <si>
    <t>ORD0025</t>
  </si>
  <si>
    <t>ORD0026</t>
  </si>
  <si>
    <t>ORD0027</t>
  </si>
  <si>
    <t>Monitor</t>
  </si>
  <si>
    <t>ORD0028</t>
  </si>
  <si>
    <t>File Folder</t>
  </si>
  <si>
    <t>ORD0029</t>
  </si>
  <si>
    <t>ORD0030</t>
  </si>
  <si>
    <t>ORD0031</t>
  </si>
  <si>
    <t>ORD0032</t>
  </si>
  <si>
    <t>ORD0033</t>
  </si>
  <si>
    <t>ORD0034</t>
  </si>
  <si>
    <t>ORD0035</t>
  </si>
  <si>
    <t>ORD0036</t>
  </si>
  <si>
    <t>ORD0037</t>
  </si>
  <si>
    <t>Cabinet</t>
  </si>
  <si>
    <t>ORD0038</t>
  </si>
  <si>
    <t>ORD0039</t>
  </si>
  <si>
    <t>ORD0040</t>
  </si>
  <si>
    <t>ORD0041</t>
  </si>
  <si>
    <t>ORD0042</t>
  </si>
  <si>
    <t>ORD0043</t>
  </si>
  <si>
    <t>Laptop</t>
  </si>
  <si>
    <t>ORD0044</t>
  </si>
  <si>
    <t>ORD0045</t>
  </si>
  <si>
    <t>ORD0046</t>
  </si>
  <si>
    <t>ORD0047</t>
  </si>
  <si>
    <t>ORD0048</t>
  </si>
  <si>
    <t>ORD0049</t>
  </si>
  <si>
    <t>Marker</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</si>
  <si>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</si>
  <si>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</si>
  <si>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</si>
  <si>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</si>
  <si>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</si>
  <si>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</si>
  <si>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</si>
  <si>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</si>
  <si>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</si>
  <si>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</si>
  <si>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</si>
  <si>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</si>
  <si>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</si>
  <si>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</si>
  <si>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</si>
  <si>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</si>
  <si>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</si>
  <si>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</si>
  <si>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</si>
  <si>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</si>
  <si>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</si>
  <si>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</si>
  <si>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</si>
  <si>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</si>
  <si>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</si>
  <si>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</si>
  <si>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</si>
  <si>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</si>
  <si>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</si>
  <si>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</si>
  <si>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</si>
  <si>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</si>
  <si>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</si>
  <si>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</si>
  <si>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</si>
  <si>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</si>
  <si>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</si>
  <si>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</si>
  <si>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</si>
  <si>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</si>
  <si>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</si>
  <si>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</si>
  <si>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</si>
  <si>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</si>
  <si>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</si>
  <si>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</si>
  <si>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</si>
  <si>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</si>
  <si>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</si>
  <si>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</si>
  <si>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</si>
  <si>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</si>
  <si>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</si>
  <si>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</si>
  <si>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</si>
  <si>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</si>
  <si>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</si>
  <si>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</si>
  <si>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</si>
  <si>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</si>
  <si>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</si>
  <si>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</si>
  <si>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</si>
  <si>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</si>
  <si>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</si>
  <si>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</si>
  <si>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</si>
  <si>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</si>
  <si>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</si>
  <si>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</si>
  <si>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</si>
  <si>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</si>
  <si>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</si>
  <si>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</si>
  <si>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</si>
  <si>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</si>
  <si>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</si>
  <si>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</si>
  <si>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</si>
  <si>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</si>
  <si>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</si>
  <si>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</si>
  <si>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</si>
  <si>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</si>
  <si>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</si>
  <si>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</si>
  <si>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</si>
  <si>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</si>
  <si>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</si>
  <si>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</si>
  <si>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</si>
  <si>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</si>
  <si>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</si>
  <si>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</si>
  <si>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</si>
  <si>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</si>
  <si>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</si>
  <si>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</si>
  <si>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</si>
  <si>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</si>
  <si>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</si>
  <si>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</si>
  <si>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</si>
  <si>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</si>
  <si>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</si>
  <si>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</si>
  <si>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</si>
  <si>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</si>
  <si>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</si>
  <si>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</si>
  <si>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</si>
  <si>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</si>
  <si>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</si>
  <si>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</si>
  <si>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</si>
  <si>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</si>
  <si>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</si>
  <si>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</si>
  <si>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</si>
  <si>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</si>
  <si>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</si>
  <si>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</si>
  <si>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</si>
  <si>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</si>
  <si>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</si>
  <si>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</si>
  <si>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</si>
  <si>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</si>
  <si>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</si>
  <si>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</si>
  <si>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</si>
  <si>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</si>
  <si>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</si>
  <si>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</si>
  <si>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</si>
  <si>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</si>
  <si>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</si>
  <si>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</si>
  <si>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</si>
  <si>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</si>
  <si>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</si>
  <si>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</si>
  <si>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</si>
  <si>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</si>
  <si>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</si>
  <si>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</si>
  <si>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</si>
  <si>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</si>
  <si>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</si>
  <si>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</si>
  <si>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</si>
  <si>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</si>
  <si>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</si>
  <si>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</si>
  <si>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</si>
  <si>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</si>
  <si>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</si>
  <si>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</si>
  <si>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</si>
  <si>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</si>
  <si>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</si>
  <si>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</si>
  <si>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</si>
  <si>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</si>
  <si>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</si>
  <si>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</si>
  <si>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</si>
  <si>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</si>
  <si>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</si>
  <si>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</si>
  <si>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</si>
  <si>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</si>
  <si>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</si>
  <si>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</si>
  <si>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</si>
  <si>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</si>
  <si>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</si>
  <si>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</si>
  <si>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</si>
  <si>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</si>
  <si>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</si>
  <si>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</si>
  <si>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</si>
  <si>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</si>
  <si>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</si>
  <si>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</si>
  <si>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</si>
  <si>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</si>
  <si>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</si>
  <si>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</si>
  <si>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</si>
  <si>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</si>
  <si>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</si>
  <si>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</si>
  <si>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</si>
  <si>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</si>
  <si>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</si>
  <si>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</si>
  <si>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</si>
  <si>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</si>
  <si>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</si>
  <si>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</si>
  <si>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</si>
  <si>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</si>
  <si>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</si>
  <si>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</si>
  <si>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</si>
  <si>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</si>
  <si>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</si>
  <si>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</si>
  <si>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</si>
  <si>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</si>
  <si>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</si>
  <si>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</si>
  <si>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</si>
  <si>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</si>
  <si>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</si>
  <si>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</si>
  <si>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</si>
  <si>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</si>
  <si>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</si>
  <si>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</si>
  <si>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</si>
  <si>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</si>
  <si>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</si>
  <si>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</si>
  <si>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</si>
  <si>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</si>
  <si>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</si>
  <si>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</si>
  <si>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</si>
  <si>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</si>
  <si>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</si>
  <si>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</si>
  <si>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</si>
  <si>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</si>
  <si>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</si>
  <si>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</si>
  <si>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</si>
  <si>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</si>
  <si>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</si>
  <si>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</si>
  <si>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</si>
  <si>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</si>
  <si>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</si>
  <si>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</si>
  <si>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</si>
  <si>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</si>
  <si>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</si>
  <si>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</si>
  <si>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</si>
  <si>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</si>
  <si>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</si>
  <si>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</si>
  <si>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</si>
  <si>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</si>
  <si>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</si>
  <si>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</si>
  <si>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</si>
  <si>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</si>
  <si>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</si>
  <si>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</si>
  <si>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</si>
  <si>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</si>
  <si>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</si>
  <si>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</si>
  <si>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</si>
  <si>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</si>
  <si>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</si>
  <si>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</si>
  <si>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</si>
  <si>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</si>
  <si>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</si>
  <si>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</si>
  <si>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</si>
  <si>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</si>
  <si>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</si>
  <si>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</si>
  <si>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</si>
  <si>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</si>
  <si>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</si>
  <si>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</si>
  <si>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</si>
  <si>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</si>
  <si>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</si>
  <si>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</si>
  <si>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</si>
  <si>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</si>
  <si>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</si>
  <si>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</si>
  <si>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</si>
  <si>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</si>
  <si>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</si>
  <si>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</si>
  <si>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</si>
  <si>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</si>
  <si>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</si>
  <si>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</si>
  <si>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</si>
  <si>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</si>
  <si>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</si>
  <si>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</si>
  <si>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</si>
  <si>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</si>
  <si>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</si>
  <si>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</si>
  <si>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</si>
  <si>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</si>
  <si>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</si>
  <si>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</si>
  <si>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</si>
  <si>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</si>
  <si>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</si>
  <si>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</si>
  <si>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</si>
  <si>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</si>
  <si>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</si>
  <si>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</si>
  <si>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</si>
  <si>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</si>
  <si>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</si>
  <si>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</si>
  <si>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</si>
  <si>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</si>
  <si>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</si>
  <si>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</si>
  <si>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</si>
  <si>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</si>
  <si>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</si>
  <si>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</si>
  <si>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</si>
  <si>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</si>
  <si>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</si>
  <si>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</si>
  <si>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</si>
  <si>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</si>
  <si>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</si>
  <si>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</si>
  <si>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</si>
  <si>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</si>
  <si>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</si>
  <si>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</si>
  <si>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</si>
  <si>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</si>
  <si>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</si>
  <si>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</si>
  <si>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</si>
  <si>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</si>
  <si>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</si>
  <si>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</si>
  <si>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</si>
  <si>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</si>
  <si>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</si>
  <si>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</si>
  <si>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</si>
  <si>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</si>
  <si>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</si>
  <si>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</si>
  <si>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</si>
  <si>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</si>
  <si>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</si>
  <si>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</si>
  <si>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</si>
  <si>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</si>
  <si>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</si>
  <si>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</si>
  <si>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</si>
  <si>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</si>
  <si>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</si>
  <si>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</si>
  <si>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</si>
  <si>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</si>
  <si>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</si>
  <si>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</si>
  <si>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</si>
  <si>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</si>
  <si>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</si>
  <si>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</si>
  <si>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</si>
  <si>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</si>
  <si>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</si>
  <si>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</si>
  <si>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</si>
  <si>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</si>
  <si>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</si>
  <si>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</si>
  <si>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</si>
  <si>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</si>
  <si>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</si>
  <si>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</si>
  <si>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</si>
  <si>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</si>
  <si>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</si>
  <si>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</si>
  <si>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</si>
  <si>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</si>
  <si>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</si>
  <si>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</si>
  <si>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</si>
  <si>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</si>
  <si>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</si>
  <si>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</si>
  <si>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</si>
  <si>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</si>
  <si>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</si>
  <si>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</si>
  <si>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</si>
  <si>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</si>
  <si>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</si>
  <si>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</si>
  <si>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</si>
  <si>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</si>
  <si>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</si>
  <si>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</si>
  <si>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</si>
  <si>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</si>
  <si>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</si>
  <si>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</si>
  <si>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</si>
  <si>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</si>
  <si>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</si>
  <si>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</si>
  <si>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</si>
  <si>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</si>
  <si>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</si>
  <si>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</si>
  <si>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</si>
  <si>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</si>
  <si>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</si>
  <si>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</si>
  <si>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</si>
  <si>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</si>
  <si>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</si>
  <si>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</si>
  <si>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</si>
  <si>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</si>
  <si>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</si>
  <si>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</si>
  <si>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</si>
  <si>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</si>
  <si>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</si>
  <si>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</si>
  <si>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</si>
  <si>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</si>
  <si>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</si>
  <si>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</si>
  <si>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</si>
  <si>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</si>
  <si>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</si>
  <si>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</si>
  <si>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</si>
  <si>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</si>
  <si>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</si>
  <si>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</si>
  <si>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</si>
  <si>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</si>
  <si>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</si>
  <si>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</si>
  <si>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</si>
  <si>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</si>
  <si>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</si>
  <si>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</si>
  <si>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</si>
  <si>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</si>
  <si>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</si>
  <si>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</si>
  <si>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</si>
  <si>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</si>
  <si>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</si>
  <si>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</si>
  <si>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</si>
  <si>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</si>
  <si>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</si>
  <si>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</si>
  <si>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</si>
  <si>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</si>
  <si>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</si>
  <si>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</si>
  <si>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</si>
  <si>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</si>
  <si>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</si>
  <si>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</si>
  <si>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</si>
  <si>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</si>
  <si>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</si>
  <si>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</si>
  <si>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</si>
  <si>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</si>
  <si>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</si>
  <si>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</si>
  <si>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</si>
  <si>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</si>
  <si>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</si>
  <si>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</si>
  <si>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</si>
  <si>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</si>
  <si>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</si>
  <si>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</si>
  <si>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</si>
  <si>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</si>
  <si>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</si>
  <si>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</si>
  <si>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</si>
  <si>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</si>
  <si>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</si>
  <si>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</si>
  <si>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</si>
  <si>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</si>
  <si>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</si>
  <si>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</si>
  <si>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</si>
  <si>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</si>
  <si>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</si>
  <si>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</si>
  <si>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</si>
  <si>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</si>
  <si>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</si>
  <si>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</si>
  <si>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</si>
  <si>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</si>
  <si>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</si>
  <si>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</si>
  <si>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</si>
  <si>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</si>
  <si>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</si>
  <si>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</si>
  <si>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</si>
  <si>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</si>
  <si>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</si>
  <si>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</si>
  <si>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</si>
  <si>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</si>
  <si>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</si>
  <si>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</si>
  <si>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</si>
  <si>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</si>
  <si>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</si>
  <si>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</si>
  <si>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</si>
  <si>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</si>
  <si>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</si>
  <si>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</si>
  <si>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</si>
  <si>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</si>
  <si>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</si>
  <si>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</si>
  <si>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</si>
  <si>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</si>
  <si>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</si>
  <si>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</si>
  <si>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</si>
  <si>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</si>
  <si>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</si>
  <si>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</si>
  <si>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</si>
  <si>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</si>
  <si>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</si>
  <si>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</si>
  <si>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</si>
  <si>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</si>
  <si>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</si>
  <si>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</si>
  <si>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</si>
  <si>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</si>
  <si>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</si>
  <si>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</si>
  <si>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</si>
  <si>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</si>
  <si>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</si>
  <si>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</si>
  <si>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</si>
  <si>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</si>
  <si>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</si>
  <si>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</si>
  <si>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</si>
  <si>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</si>
  <si>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</si>
  <si>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</si>
  <si>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</si>
  <si>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</si>
  <si>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</si>
  <si>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</si>
  <si>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</si>
  <si>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</si>
  <si>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</si>
  <si>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</si>
  <si>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</si>
  <si>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</si>
  <si>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</si>
  <si>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</si>
  <si>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</si>
  <si>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</si>
  <si>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</si>
  <si>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</si>
  <si>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</si>
  <si>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</si>
  <si>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</si>
  <si>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</si>
  <si>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</si>
  <si>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</si>
  <si>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</si>
  <si>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</si>
  <si>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</si>
  <si>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</si>
  <si>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</si>
  <si>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</si>
  <si>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</si>
  <si>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</si>
  <si>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</si>
  <si>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</si>
  <si>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</si>
  <si>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</si>
  <si>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</si>
  <si>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</si>
  <si>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</si>
  <si>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</si>
  <si>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</si>
  <si>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</si>
  <si>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</si>
  <si>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</si>
  <si>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</si>
  <si>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</si>
  <si>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</si>
  <si>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</si>
  <si>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</si>
  <si>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</si>
  <si>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</si>
  <si>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</si>
  <si>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</si>
  <si>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</si>
  <si>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</si>
  <si>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</si>
  <si>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</si>
  <si>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</si>
  <si>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</si>
  <si>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</si>
  <si>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</si>
  <si>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</si>
  <si>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</si>
  <si>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</si>
  <si>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</si>
  <si>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</si>
  <si>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</si>
  <si>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</si>
  <si>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</si>
  <si>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</si>
  <si>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</si>
  <si>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</si>
  <si>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</si>
  <si>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</si>
  <si>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</si>
  <si>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</si>
  <si>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</si>
  <si>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</si>
  <si>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</si>
  <si>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</si>
  <si>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</si>
  <si>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</si>
  <si>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</si>
  <si>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</si>
  <si>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</si>
  <si>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</si>
  <si>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</si>
  <si>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</si>
  <si>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</si>
  <si>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</si>
  <si>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</si>
  <si>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</si>
  <si>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</si>
  <si>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</si>
  <si>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</si>
  <si>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</si>
  <si>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</si>
  <si>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</si>
  <si>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</si>
  <si>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</si>
  <si>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</si>
  <si>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</si>
  <si>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</si>
  <si>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</si>
  <si>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</si>
  <si>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</si>
  <si>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</si>
  <si>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</si>
  <si>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</si>
  <si>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</si>
  <si>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</si>
  <si>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</si>
  <si>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</si>
  <si>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</si>
  <si>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</si>
  <si>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</si>
  <si>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</si>
  <si>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</si>
  <si>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</si>
  <si>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</si>
  <si>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</si>
  <si>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</si>
  <si>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</si>
  <si>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</si>
  <si>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</si>
  <si>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</si>
  <si>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</si>
  <si>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</si>
  <si>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</si>
  <si>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</si>
  <si>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</si>
  <si>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</si>
  <si>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</si>
  <si>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</si>
  <si>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</si>
  <si>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</si>
  <si>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</si>
  <si>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</si>
  <si>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</si>
  <si>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</si>
  <si>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</si>
  <si>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</si>
  <si>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</si>
  <si>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</si>
  <si>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</si>
  <si>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</si>
  <si>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</si>
  <si>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</si>
  <si>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</si>
  <si>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</si>
  <si>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</si>
  <si>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</si>
  <si>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</si>
  <si>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</si>
  <si>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</si>
  <si>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</si>
  <si>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</si>
  <si>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</si>
  <si>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</si>
  <si>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</si>
  <si>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</si>
  <si>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</si>
  <si>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</si>
  <si>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</si>
  <si>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</si>
  <si>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</si>
  <si>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</si>
  <si>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</si>
  <si>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</si>
  <si>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</si>
  <si>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</si>
  <si>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</si>
  <si>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</si>
  <si>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</si>
  <si>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</si>
  <si>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</si>
  <si>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</si>
  <si>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</si>
  <si>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</si>
  <si>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</si>
  <si>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</si>
  <si>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</si>
  <si>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</si>
  <si>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</si>
  <si>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</si>
  <si>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</si>
  <si>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</si>
  <si>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</si>
  <si>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</si>
  <si>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</si>
  <si>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</si>
  <si>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</si>
  <si>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</si>
  <si>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</si>
  <si>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</si>
  <si>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</si>
  <si>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</si>
  <si>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</si>
  <si>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</si>
  <si>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</si>
  <si>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</si>
  <si>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</si>
  <si>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</si>
  <si>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</si>
  <si>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</si>
  <si>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</si>
  <si>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</si>
  <si>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</si>
  <si>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</si>
  <si>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</si>
  <si>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</si>
  <si>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</si>
  <si>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</si>
  <si>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</si>
  <si>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</si>
  <si>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</si>
  <si>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</si>
  <si>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</si>
  <si>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</si>
  <si>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</si>
  <si>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</si>
  <si>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</si>
  <si>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</si>
  <si>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</si>
  <si>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</si>
  <si>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</si>
  <si>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</si>
  <si>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</si>
  <si>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</si>
  <si>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</si>
  <si>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</si>
  <si>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</si>
  <si>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</si>
  <si>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</si>
  <si>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</si>
  <si>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</si>
  <si>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</si>
  <si>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</si>
  <si>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</si>
  <si>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</si>
  <si>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</si>
  <si>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</si>
  <si>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</si>
  <si>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</si>
  <si>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</si>
  <si>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</si>
  <si>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</si>
  <si>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</si>
  <si>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</si>
  <si>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</si>
  <si>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</si>
  <si>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</si>
  <si>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</si>
  <si>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</si>
  <si>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</si>
  <si>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</si>
  <si>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</si>
  <si>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</si>
  <si>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</si>
  <si>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</si>
  <si>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</si>
  <si>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</si>
  <si>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</si>
  <si>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</si>
  <si>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</si>
  <si>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</si>
  <si>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</si>
  <si>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</si>
  <si>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</si>
  <si>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</si>
  <si>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</si>
  <si>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</si>
  <si>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</si>
  <si>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</si>
  <si>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</si>
  <si>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</si>
  <si>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</si>
  <si>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</si>
  <si>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</si>
  <si>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</si>
  <si>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</si>
  <si>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</si>
  <si>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</si>
  <si>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</si>
  <si>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</si>
  <si>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</si>
  <si>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</si>
  <si>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</si>
  <si>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</si>
  <si>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</si>
  <si>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</si>
  <si>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</si>
  <si>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</si>
  <si>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</si>
  <si>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</si>
  <si>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</si>
  <si>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</si>
  <si>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</si>
  <si>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</si>
  <si>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</si>
  <si>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</si>
  <si>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</si>
  <si>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</si>
  <si>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</si>
  <si>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</si>
  <si>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</si>
  <si>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</si>
  <si>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</si>
  <si>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</si>
  <si>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</si>
  <si>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</si>
  <si>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</si>
  <si>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</si>
  <si>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</si>
  <si>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</si>
  <si>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</si>
  <si>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</si>
  <si>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</si>
  <si>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</si>
  <si>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</si>
  <si>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</si>
  <si>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</si>
  <si>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</si>
  <si>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</si>
  <si>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</si>
  <si>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</si>
  <si>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</si>
  <si>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</si>
  <si>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</si>
  <si>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</si>
  <si>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</si>
  <si>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</si>
  <si>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</si>
  <si>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</si>
  <si>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</si>
  <si>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</si>
  <si>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</si>
  <si>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</si>
  <si>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</si>
  <si>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</si>
  <si>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</si>
  <si>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</si>
  <si>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</si>
  <si>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</si>
  <si>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</si>
  <si>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</si>
  <si>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</si>
  <si>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</si>
  <si>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</si>
  <si>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</si>
  <si>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</si>
  <si>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</si>
  <si>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</si>
  <si>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</si>
  <si>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</si>
  <si>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</si>
  <si>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</si>
  <si>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</si>
  <si>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</si>
  <si>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</si>
  <si>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</si>
  <si>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</si>
  <si>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</si>
  <si>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</si>
  <si>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</si>
  <si>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</si>
  <si>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</si>
  <si>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</si>
  <si>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</si>
  <si>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</si>
  <si>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</si>
  <si>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</si>
  <si>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</si>
  <si>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</si>
  <si>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</si>
  <si>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Inventory_Status</t>
  </si>
  <si>
    <t>Profit</t>
  </si>
  <si>
    <t>Row Labels</t>
  </si>
  <si>
    <t>Grand Total</t>
  </si>
  <si>
    <t>Jan</t>
  </si>
  <si>
    <t>Feb</t>
  </si>
  <si>
    <t>Mar</t>
  </si>
  <si>
    <t>Apr</t>
  </si>
  <si>
    <t>May</t>
  </si>
  <si>
    <t>Jun</t>
  </si>
  <si>
    <t>Jul</t>
  </si>
  <si>
    <t>Aug</t>
  </si>
  <si>
    <t>Sep</t>
  </si>
  <si>
    <t>Oct</t>
  </si>
  <si>
    <t>Nov</t>
  </si>
  <si>
    <t>Dec</t>
  </si>
  <si>
    <t>Sum of Revenue</t>
  </si>
  <si>
    <t>Sum of Quantity</t>
  </si>
  <si>
    <t>2025</t>
  </si>
  <si>
    <t>Average of Delivery_Days</t>
  </si>
  <si>
    <t>Available</t>
  </si>
  <si>
    <t>Reorder</t>
  </si>
  <si>
    <t>Count of Order_ID</t>
  </si>
  <si>
    <t>Monthly Revenue</t>
  </si>
  <si>
    <t>Region Performance</t>
  </si>
  <si>
    <t>Suppliers Performance</t>
  </si>
  <si>
    <t>Inventory Alerts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</si>
</sst>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 #,##0_ ;_ * \-#,##0_ ;_ * &quot;-&quot;_ ;_ @_ "/>
    <numFmt numFmtId="164" formatCode="yyyy\-mm\-dd"/>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Alignment="1">
      <alignment horizontal="center"/>
    </xf>
    <xf numFmtId="0" fontId="2" fillId="0" borderId="0" xfId="0" applyFont="1" applyAlignment="1">
      <alignment horizontal="center"/>
    </xf>
    <xf numFmtId="2" fontId="0" fillId="0" borderId="0" xfId="0" applyNumberFormat="1"/>
    <xf numFmtId="41" fontId="0" fillId="0" borderId="0" xfId="0" applyNumberFormat="1"/>
    <xf numFmtId="10" fontId="0" fillId="0" borderId="0" xfId="0" applyNumberFormat="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NumberFormat="1"/>
  </cellXfs>
  <cellStyles count="1">
    <cellStyle name="Normal" xfId="0" builtinId="0"/>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myyyy" pivot="0" table="0" count="10" xr9:uid="{FB11C273-32C2-4F30-8BCC-217F81E76BD2}">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yy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[supply_chain_mis_dataset.xlsx]Pivot_Analysis!Monthly Revenue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Revenue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420361247947454E-3"/>
              <c:y val="9.8183603338242512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11"/>
            <c:bubble3D val="0"/>
            <c:extLst>
              <c:ext xmlns:c16="http://schemas.microsoft.com/office/drawing/2014/chart" uri="{C3380CC4-5D6E-409C-BE32-E72D297353CC}">
                <c16:uniqueId val="{0000000D-9235-40CD-845E-06A30AD3F8CD}"/>
              </c:ext>
            </c:extLst>
          </c:dPt>
          <c:dLbls>
            <c:dLbl>
              <c:idx val="11"/>
              <c:layout>
                <c:manualLayout>
                  <c:x val="-1.6420361247947454E-3"/>
                  <c:y val="9.81836033382425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35-40CD-845E-06A30AD3F8C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Pivot_Analysis!$A$3:$A$16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Pivot_Analysis!$B$3:$B$16</c:f>
              <c:numCache>
                <c:formatCode>General</c:formatCode>
                <c:ptCount val="12"/>
                <c:pt idx="0">
                  <c:v>5197852</c:v>
                </c:pt>
                <c:pt idx="1">
                  <c:v>5986024</c:v>
                </c:pt>
                <c:pt idx="2">
                  <c:v>6089686</c:v>
                </c:pt>
                <c:pt idx="3">
                  <c:v>5329978</c:v>
                </c:pt>
                <c:pt idx="4">
                  <c:v>6491666</c:v>
                </c:pt>
                <c:pt idx="5">
                  <c:v>5895433</c:v>
                </c:pt>
                <c:pt idx="6">
                  <c:v>4646552</c:v>
                </c:pt>
                <c:pt idx="7">
                  <c:v>6795226</c:v>
                </c:pt>
                <c:pt idx="8">
                  <c:v>5605395</c:v>
                </c:pt>
                <c:pt idx="9">
                  <c:v>6192552</c:v>
                </c:pt>
                <c:pt idx="10">
                  <c:v>5069089</c:v>
                </c:pt>
                <c:pt idx="11">
                  <c:v>6001512</c:v>
                </c:pt>
              </c:numCache>
            </c:numRef>
          </c:val>
          <c:extLst>
            <c:ext xmlns:c16="http://schemas.microsoft.com/office/drawing/2014/chart" uri="{C3380CC4-5D6E-409C-BE32-E72D297353CC}">
              <c16:uniqueId val="{00000000-9235-40CD-845E-06A30AD3F8CD}"/>
            </c:ext>
          </c:extLst>
        </c:ser>
        <c:dLbls>
          <c:showLegendKey val="0"/>
          <c:showVal val="0"/>
          <c:showCatName val="0"/>
          <c:showSerName val="0"/>
          <c:showPercent val="0"/>
          <c:showBubbleSize val="0"/>
        </c:dLbls>
        <c:axId val="323929504"/>
        <c:axId val="323916064"/>
      </c:areaChart>
      <c:catAx>
        <c:axId val="3239295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916064"/>
        <c:crosses val="autoZero"/>
        <c:auto val="1"/>
        <c:lblAlgn val="ctr"/>
        <c:lblOffset val="100"/>
        <c:noMultiLvlLbl val="0"/>
      </c:catAx>
      <c:valAx>
        <c:axId val="32391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929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[supply_chain_mis_dataset.xlsx]Pivot_Analysis!Regional Performance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Pivot_Analysis!$E$2</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Pivot_Analysis!$D$3:$D$7</c:f>
              <c:strCache>
                <c:ptCount val="4"/>
                <c:pt idx="0">
                  <c:v>East</c:v>
                </c:pt>
                <c:pt idx="1">
                  <c:v>North</c:v>
                </c:pt>
                <c:pt idx="2">
                  <c:v>South</c:v>
                </c:pt>
                <c:pt idx="3">
                  <c:v>West</c:v>
                </c:pt>
              </c:strCache>
            </c:strRef>
          </c:cat>
          <c:val>
            <c:numRef>
              <c:f>Pivot_Analysis!$E$3:$E$7</c:f>
              <c:numCache>
                <c:formatCode>General</c:formatCode>
                <c:ptCount val="4"/>
                <c:pt idx="0">
                  <c:v>17044450</c:v>
                </c:pt>
                <c:pt idx="1">
                  <c:v>17885462</c:v>
                </c:pt>
                <c:pt idx="2">
                  <c:v>16358836</c:v>
                </c:pt>
                <c:pt idx="3">
                  <c:v>18012217</c:v>
                </c:pt>
              </c:numCache>
            </c:numRef>
          </c:val>
          <c:extLst>
            <c:ext xmlns:c16="http://schemas.microsoft.com/office/drawing/2014/chart" uri="{C3380CC4-5D6E-409C-BE32-E72D297353CC}">
              <c16:uniqueId val="{00000000-1027-4C54-AC6F-46FAF25C1088}"/>
            </c:ext>
          </c:extLst>
        </c:ser>
        <c:dLbls>
          <c:showLegendKey val="0"/>
          <c:showVal val="0"/>
          <c:showCatName val="0"/>
          <c:showSerName val="0"/>
          <c:showPercent val="0"/>
          <c:showBubbleSize val="0"/>
        </c:dLbls>
        <c:gapWidth val="0"/>
        <c:axId val="323948704"/>
        <c:axId val="323965984"/>
      </c:barChart>
      <c:lineChart>
        <c:grouping val="standard"/>
        <c:varyColors val="0"/>
        <c:ser>
          <c:idx val="1"/>
          <c:order val="1"/>
          <c:tx>
            <c:strRef>
              <c:f>Pivot_Analysis!$F$2</c:f>
              <c:strCache>
                <c:ptCount val="1"/>
                <c:pt idx="0">
                  <c:v>Sum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Pivot_Analysis!$D$3:$D$7</c:f>
              <c:strCache>
                <c:ptCount val="4"/>
                <c:pt idx="0">
                  <c:v>East</c:v>
                </c:pt>
                <c:pt idx="1">
                  <c:v>North</c:v>
                </c:pt>
                <c:pt idx="2">
                  <c:v>South</c:v>
                </c:pt>
                <c:pt idx="3">
                  <c:v>West</c:v>
                </c:pt>
              </c:strCache>
            </c:strRef>
          </c:cat>
          <c:val>
            <c:numRef>
              <c:f>Pivot_Analysis!$F$3:$F$7</c:f>
              <c:numCache>
                <c:formatCode>General</c:formatCode>
                <c:ptCount val="4"/>
                <c:pt idx="0">
                  <c:v>5868</c:v>
                </c:pt>
                <c:pt idx="1">
                  <c:v>6656</c:v>
                </c:pt>
                <c:pt idx="2">
                  <c:v>6130</c:v>
                </c:pt>
                <c:pt idx="3">
                  <c:v>6479</c:v>
                </c:pt>
              </c:numCache>
            </c:numRef>
          </c:val>
          <c:smooth val="0"/>
          <c:extLst>
            <c:ext xmlns:c16="http://schemas.microsoft.com/office/drawing/2014/chart" uri="{C3380CC4-5D6E-409C-BE32-E72D297353CC}">
              <c16:uniqueId val="{00000001-1027-4C54-AC6F-46FAF25C1088}"/>
            </c:ext>
          </c:extLst>
        </c:ser>
        <c:dLbls>
          <c:showLegendKey val="0"/>
          <c:showVal val="0"/>
          <c:showCatName val="0"/>
          <c:showSerName val="0"/>
          <c:showPercent val="0"/>
          <c:showBubbleSize val="0"/>
        </c:dLbls>
        <c:marker val="1"/>
        <c:smooth val="0"/>
        <c:axId val="1053637024"/>
        <c:axId val="1053644224"/>
      </c:lineChart>
      <c:catAx>
        <c:axId val="3239487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965984"/>
        <c:crosses val="autoZero"/>
        <c:auto val="1"/>
        <c:lblAlgn val="ctr"/>
        <c:lblOffset val="100"/>
        <c:noMultiLvlLbl val="0"/>
      </c:catAx>
      <c:valAx>
        <c:axId val="323965984"/>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r>
                  <a:rPr lang="en-IN" sz="1000">
                    <a:solidFill>
                      <a:srgbClr val="0070C0"/>
                    </a:solidFill>
                  </a:rPr>
                  <a:t>Sum</a:t>
                </a:r>
                <a:r>
                  <a:rPr lang="en-IN" sz="1000" baseline="0">
                    <a:solidFill>
                      <a:srgbClr val="0070C0"/>
                    </a:solidFill>
                  </a:rPr>
                  <a:t> of </a:t>
                </a:r>
                <a:r>
                  <a:rPr lang="en-US" sz="1000" baseline="0">
                    <a:solidFill>
                      <a:srgbClr val="0070C0"/>
                    </a:solidFill>
                  </a:rPr>
                  <a:t>Revenue </a:t>
                </a:r>
                <a:endParaRPr lang="en-IN" sz="1000">
                  <a:solidFill>
                    <a:srgbClr val="0070C0"/>
                  </a:solidFill>
                </a:endParaRPr>
              </a:p>
            </c:rich>
          </c:tx>
          <c:layout>
            <c:manualLayout>
              <c:xMode val="edge"/>
              <c:yMode val="edge"/>
              <c:x val="8.3333333333333332E-3"/>
              <c:y val="0.32500396213359928"/>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endParaRPr lang="en-IN"/>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948704"/>
        <c:crosses val="autoZero"/>
        <c:crossBetween val="between"/>
      </c:valAx>
      <c:valAx>
        <c:axId val="1053644224"/>
        <c:scaling>
          <c:orientation val="minMax"/>
        </c:scaling>
        <c:delete val="0"/>
        <c:axPos val="r"/>
        <c:title>
          <c:tx>
            <c:rich>
              <a:bodyPr rot="-5400000" spcFirstLastPara="1" vertOverflow="ellipsis" vert="horz" wrap="square" anchor="ctr" anchorCtr="1"/>
              <a:lstStyle/>
              <a:p>
                <a:pPr>
                  <a:defRPr sz="1000" b="1" i="0" u="none" strike="noStrike" kern="1200" cap="all" baseline="0">
                    <a:solidFill>
                      <a:srgbClr val="C00000"/>
                    </a:solidFill>
                    <a:latin typeface="+mn-lt"/>
                    <a:ea typeface="+mn-ea"/>
                    <a:cs typeface="+mn-cs"/>
                  </a:defRPr>
                </a:pPr>
                <a:r>
                  <a:rPr lang="en-IN" sz="1000">
                    <a:solidFill>
                      <a:srgbClr val="C00000"/>
                    </a:solidFill>
                  </a:rPr>
                  <a:t>Sum</a:t>
                </a:r>
                <a:r>
                  <a:rPr lang="en-IN" sz="1000" baseline="0">
                    <a:solidFill>
                      <a:srgbClr val="C00000"/>
                    </a:solidFill>
                  </a:rPr>
                  <a:t> of </a:t>
                </a:r>
                <a:r>
                  <a:rPr lang="en-US" sz="1000" baseline="0">
                    <a:solidFill>
                      <a:srgbClr val="C00000"/>
                    </a:solidFill>
                  </a:rPr>
                  <a:t>Quantity </a:t>
                </a:r>
                <a:endParaRPr lang="en-IN" sz="1000">
                  <a:solidFill>
                    <a:srgbClr val="C00000"/>
                  </a:solidFill>
                </a:endParaRPr>
              </a:p>
            </c:rich>
          </c:tx>
          <c:layout>
            <c:manualLayout>
              <c:xMode val="edge"/>
              <c:yMode val="edge"/>
              <c:x val="0.95281933508311456"/>
              <c:y val="0.30521996606094343"/>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C00000"/>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637024"/>
        <c:crosses val="max"/>
        <c:crossBetween val="between"/>
      </c:valAx>
      <c:catAx>
        <c:axId val="1053637024"/>
        <c:scaling>
          <c:orientation val="minMax"/>
        </c:scaling>
        <c:delete val="1"/>
        <c:axPos val="t"/>
        <c:numFmt formatCode="General" sourceLinked="1"/>
        <c:majorTickMark val="out"/>
        <c:minorTickMark val="none"/>
        <c:tickLblPos val="nextTo"/>
        <c:crossAx val="105364422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rot="168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[supply_chain_mis_dataset.xlsx]Pivot_Analysis!Supplier Performance</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8980752405952"/>
          <c:y val="0.15217373869932924"/>
          <c:w val="0.72113604549431332"/>
          <c:h val="0.70338983668708066"/>
        </c:manualLayout>
      </c:layout>
      <c:barChart>
        <c:barDir val="bar"/>
        <c:grouping val="clustered"/>
        <c:varyColors val="0"/>
        <c:ser>
          <c:idx val="0"/>
          <c:order val="0"/>
          <c:tx>
            <c:strRef>
              <c:f>Pivot_Analysis!$I$2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Pivot_Analysis!$H$3:$H$7</c:f>
              <c:strCache>
                <c:ptCount val="4"/>
                <c:pt idx="0">
                  <c:v>Supplier D</c:v>
                </c:pt>
                <c:pt idx="1">
                  <c:v>Supplier C</c:v>
                </c:pt>
                <c:pt idx="2">
                  <c:v>Supplier B</c:v>
                </c:pt>
                <c:pt idx="3">
                  <c:v>Supplier A</c:v>
                </c:pt>
              </c:strCache>
            </c:strRef>
          </c:cat>
          <c:val>
            <c:numRef>
              <c:f>Pivot_Analysis!$I$3:$I$7</c:f>
              <c:numCache>
                <c:formatCode>General</c:formatCode>
                <c:ptCount val="4"/>
                <c:pt idx="0">
                  <c:v>16722266</c:v>
                </c:pt>
                <c:pt idx="1">
                  <c:v>17121177</c:v>
                </c:pt>
                <c:pt idx="2">
                  <c:v>16741823</c:v>
                </c:pt>
                <c:pt idx="3">
                  <c:v>18715699</c:v>
                </c:pt>
              </c:numCache>
            </c:numRef>
          </c:val>
          <c:extLst>
            <c:ext xmlns:c16="http://schemas.microsoft.com/office/drawing/2014/chart" uri="{C3380CC4-5D6E-409C-BE32-E72D297353CC}">
              <c16:uniqueId val="{00000000-7974-4379-B6A5-13E5834E2C03}"/>
            </c:ext>
          </c:extLst>
        </c:ser>
        <c:dLbls>
          <c:dLblPos val="outEnd"/>
          <c:showLegendKey val="0"/>
          <c:showVal val="1"/>
          <c:showCatName val="0"/>
          <c:showSerName val="0"/>
          <c:showPercent val="0"/>
          <c:showBubbleSize val="0"/>
        </c:dLbls>
        <c:gapWidth val="115"/>
        <c:overlap val="-20"/>
        <c:axId val="221761552"/>
        <c:axId val="221762032"/>
      </c:barChart>
      <c:catAx>
        <c:axId val="221761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762032"/>
        <c:crosses val="autoZero"/>
        <c:auto val="1"/>
        <c:lblAlgn val="ctr"/>
        <c:lblOffset val="100"/>
        <c:noMultiLvlLbl val="0"/>
      </c:catAx>
      <c:valAx>
        <c:axId val="221762032"/>
        <c:scaling>
          <c:orientation val="minMax"/>
          <c:min val="0"/>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76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Suppliers Performance </a:t>
            </a:r>
          </a:p>
        </c:rich>
      </c:tx>
      <c:layout>
        <c:manualLayout>
          <c:xMode val="edge"/>
          <c:yMode val="edge"/>
          <c:x val="0.25403455818022747"/>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4254333892835"/>
          <c:y val="0.16449074074074077"/>
          <c:w val="0.78805728789967111"/>
          <c:h val="0.68181357538640996"/>
        </c:manualLayout>
      </c:layout>
      <c:areaChart>
        <c:grouping val="standard"/>
        <c:varyColors val="0"/>
        <c:ser>
          <c:idx val="0"/>
          <c:order val="0"/>
          <c:tx>
            <c:strRef>
              <c:f>Pivot_Analysis!$I$13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2-359F-4984-BA2E-4FEDFAA15F83}"/>
              </c:ext>
            </c:extLst>
          </c:dPt>
          <c:dLbls>
            <c:dLbl>
              <c:idx val="0"/>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9F-4984-BA2E-4FEDFAA15F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Pivot_Analysis!$H$14:$H$18</c:f>
              <c:strCache>
                <c:ptCount val="4"/>
                <c:pt idx="0">
                  <c:v>Supplier A</c:v>
                </c:pt>
                <c:pt idx="1">
                  <c:v>Supplier B</c:v>
                </c:pt>
                <c:pt idx="2">
                  <c:v>Supplier C</c:v>
                </c:pt>
                <c:pt idx="3">
                  <c:v>Supplier D</c:v>
                </c:pt>
              </c:strCache>
            </c:strRef>
          </c:cat>
          <c:val>
            <c:numRef>
              <c:f>Pivot_Analysis!$I$14:$I$18</c:f>
              <c:numCache>
                <c:formatCode>0.00</c:formatCode>
                <c:ptCount val="4"/>
                <c:pt idx="0">
                  <c:v>5.911290322580645</c:v>
                </c:pt>
                <c:pt idx="1">
                  <c:v>6.0156862745098039</c:v>
                </c:pt>
                <c:pt idx="2">
                  <c:v>5.7815126050420167</c:v>
                </c:pt>
                <c:pt idx="3">
                  <c:v>5.8648648648648649</c:v>
                </c:pt>
              </c:numCache>
            </c:numRef>
          </c:val>
          <c:extLst>
            <c:ext xmlns:c16="http://schemas.microsoft.com/office/drawing/2014/chart" uri="{C3380CC4-5D6E-409C-BE32-E72D297353CC}">
              <c16:uniqueId val="{00000000-359F-4984-BA2E-4FEDFAA15F83}"/>
            </c:ext>
          </c:extLst>
        </c:ser>
        <c:dLbls>
          <c:showLegendKey val="0"/>
          <c:showVal val="1"/>
          <c:showCatName val="0"/>
          <c:showSerName val="0"/>
          <c:showPercent val="0"/>
          <c:showBubbleSize val="0"/>
        </c:dLbls>
        <c:axId val="414640912"/>
        <c:axId val="414639952"/>
      </c:areaChart>
      <c:catAx>
        <c:axId val="4146409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639952"/>
        <c:crosses val="autoZero"/>
        <c:auto val="1"/>
        <c:lblAlgn val="ctr"/>
        <c:lblOffset val="100"/>
        <c:noMultiLvlLbl val="0"/>
      </c:catAx>
      <c:valAx>
        <c:axId val="414639952"/>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r>
                  <a:rPr lang="en-IN" sz="1000">
                    <a:solidFill>
                      <a:srgbClr val="0070C0"/>
                    </a:solidFill>
                  </a:rPr>
                  <a:t>avg</a:t>
                </a:r>
                <a:r>
                  <a:rPr lang="en-IN" sz="1000" baseline="0">
                    <a:solidFill>
                      <a:srgbClr val="0070C0"/>
                    </a:solidFill>
                  </a:rPr>
                  <a:t> delivery days</a:t>
                </a:r>
                <a:endParaRPr lang="en-IN" sz="1000">
                  <a:solidFill>
                    <a:srgbClr val="0070C0"/>
                  </a:solidFill>
                </a:endParaRPr>
              </a:p>
            </c:rich>
          </c:tx>
          <c:layout>
            <c:manualLayout>
              <c:xMode val="edge"/>
              <c:yMode val="edge"/>
              <c:x val="1.3136323730764156E-2"/>
              <c:y val="0.29509660250801983"/>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640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[supply_chain_mis_dataset.xlsx]Pivot_Analysis!Inventory Alerts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Inventory</a:t>
            </a:r>
            <a:r>
              <a:rPr lang="en-US" baseline="0"/>
              <a:t> Alerts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Pivot_Analysis!$E$13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F55-4EE7-A055-2843CEA5781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F55-4EE7-A055-2843CEA578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Pivot_Analysis!$D$14:$D$16</c:f>
              <c:strCache>
                <c:ptCount val="2"/>
                <c:pt idx="0">
                  <c:v>Available</c:v>
                </c:pt>
                <c:pt idx="1">
                  <c:v>Reorder</c:v>
                </c:pt>
              </c:strCache>
            </c:strRef>
          </c:cat>
          <c:val>
            <c:numRef>
              <c:f>Pivot_Analysis!$E$14:$E$16</c:f>
              <c:numCache>
                <c:formatCode>General</c:formatCode>
                <c:ptCount val="2"/>
                <c:pt idx="0">
                  <c:v>875</c:v>
                </c:pt>
                <c:pt idx="1">
                  <c:v>125</c:v>
                </c:pt>
              </c:numCache>
            </c:numRef>
          </c:val>
          <c:extLst>
            <c:ext xmlns:c16="http://schemas.microsoft.com/office/drawing/2014/chart" uri="{C3380CC4-5D6E-409C-BE32-E72D297353CC}">
              <c16:uniqueId val="{00000000-30D3-41C0-8300-A78B1C831C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918825971221687"/>
          <c:y val="0.48791593759113444"/>
          <c:w val="0.16308124383388248"/>
          <c:h val="0.193288130650335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[supply_chain_mis_dataset.xlsx]Pivot_Analysis!Monthly Revenue</c:name>
    <c:fmtId val="18"/>
  </c:pivotSource>
  <c:chart>
    <c:title>
      <c:tx>
        <c:rich>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800">
                <a:solidFill>
                  <a:schemeClr val="tx1">
                    <a:lumMod val="95000"/>
                    <a:lumOff val="5000"/>
                  </a:schemeClr>
                </a:solidFill>
              </a:rPr>
              <a:t>Monthly</a:t>
            </a:r>
            <a:r>
              <a:rPr lang="en-IN" sz="1800" baseline="0">
                <a:solidFill>
                  <a:schemeClr val="tx1">
                    <a:lumMod val="95000"/>
                    <a:lumOff val="5000"/>
                  </a:schemeClr>
                </a:solidFill>
              </a:rPr>
              <a:t> Revenue</a:t>
            </a:r>
            <a:endParaRPr lang="en-IN" sz="1800">
              <a:solidFill>
                <a:schemeClr val="tx1">
                  <a:lumMod val="95000"/>
                  <a:lumOff val="5000"/>
                </a:schemeClr>
              </a:solidFill>
            </a:endParaRPr>
          </a:p>
        </c:rich>
      </c:tx>
      <c:layout>
        <c:manualLayout>
          <c:xMode val="edge"/>
          <c:yMode val="edge"/>
          <c:x val="0.27407974179905953"/>
          <c:y val="1.6038492381716118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420361247947454E-3"/>
              <c:y val="9.8183603338242512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420361247947454E-3"/>
              <c:y val="9.8183603338242512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5788940175581501"/>
          <c:y val="0.16951399116347571"/>
          <c:w val="0.83743533417018523"/>
          <c:h val="0.61008082752542525"/>
        </c:manualLayout>
      </c:layout>
      <c:areaChart>
        <c:grouping val="standard"/>
        <c:varyColors val="0"/>
        <c:ser>
          <c:idx val="0"/>
          <c:order val="0"/>
          <c:tx>
            <c:strRef>
              <c:f>Pivot_Analysis!$B$2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11"/>
            <c:bubble3D val="0"/>
            <c:extLst>
              <c:ext xmlns:c16="http://schemas.microsoft.com/office/drawing/2014/chart" uri="{C3380CC4-5D6E-409C-BE32-E72D297353CC}">
                <c16:uniqueId val="{00000000-6547-46FE-BEED-AF8E6FFE3AFD}"/>
              </c:ext>
            </c:extLst>
          </c:dPt>
          <c:cat>
            <c:multiLvlStrRef>
              <c:f>Pivot_Analysis!$A$3:$A$16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Pivot_Analysis!$B$3:$B$16</c:f>
              <c:numCache>
                <c:formatCode>General</c:formatCode>
                <c:ptCount val="12"/>
                <c:pt idx="0">
                  <c:v>5197852</c:v>
                </c:pt>
                <c:pt idx="1">
                  <c:v>5986024</c:v>
                </c:pt>
                <c:pt idx="2">
                  <c:v>6089686</c:v>
                </c:pt>
                <c:pt idx="3">
                  <c:v>5329978</c:v>
                </c:pt>
                <c:pt idx="4">
                  <c:v>6491666</c:v>
                </c:pt>
                <c:pt idx="5">
                  <c:v>5895433</c:v>
                </c:pt>
                <c:pt idx="6">
                  <c:v>4646552</c:v>
                </c:pt>
                <c:pt idx="7">
                  <c:v>6795226</c:v>
                </c:pt>
                <c:pt idx="8">
                  <c:v>5605395</c:v>
                </c:pt>
                <c:pt idx="9">
                  <c:v>6192552</c:v>
                </c:pt>
                <c:pt idx="10">
                  <c:v>5069089</c:v>
                </c:pt>
                <c:pt idx="11">
                  <c:v>6001512</c:v>
                </c:pt>
              </c:numCache>
            </c:numRef>
          </c:val>
          <c:extLst>
            <c:ext xmlns:c16="http://schemas.microsoft.com/office/drawing/2014/chart" uri="{C3380CC4-5D6E-409C-BE32-E72D297353CC}">
              <c16:uniqueId val="{00000001-6547-46FE-BEED-AF8E6FFE3AFD}"/>
            </c:ext>
          </c:extLst>
        </c:ser>
        <c:dLbls>
          <c:showLegendKey val="0"/>
          <c:showVal val="0"/>
          <c:showCatName val="0"/>
          <c:showSerName val="0"/>
          <c:showPercent val="0"/>
          <c:showBubbleSize val="0"/>
        </c:dLbls>
        <c:axId val="323929504"/>
        <c:axId val="323916064"/>
      </c:areaChart>
      <c:catAx>
        <c:axId val="3239295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3916064"/>
        <c:crosses val="autoZero"/>
        <c:auto val="1"/>
        <c:lblAlgn val="ctr"/>
        <c:lblOffset val="100"/>
        <c:noMultiLvlLbl val="0"/>
      </c:catAx>
      <c:valAx>
        <c:axId val="32391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3929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[supply_chain_mis_dataset.xlsx]Pivot_Analysis!Regional Performance</c:name>
    <c:fmtId val="9"/>
  </c:pivotSource>
  <c:chart>
    <c:title>
      <c:tx>
        <c:rich>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800">
                <a:solidFill>
                  <a:schemeClr val="tx1">
                    <a:lumMod val="95000"/>
                    <a:lumOff val="5000"/>
                  </a:schemeClr>
                </a:solidFill>
              </a:rPr>
              <a:t>Region</a:t>
            </a:r>
            <a:r>
              <a:rPr lang="en-IN" sz="1800" baseline="0">
                <a:solidFill>
                  <a:schemeClr val="tx1">
                    <a:lumMod val="95000"/>
                    <a:lumOff val="5000"/>
                  </a:schemeClr>
                </a:solidFill>
              </a:rPr>
              <a:t> Performance</a:t>
            </a:r>
            <a:endParaRPr lang="en-IN" sz="1800">
              <a:solidFill>
                <a:schemeClr val="tx1">
                  <a:lumMod val="95000"/>
                  <a:lumOff val="5000"/>
                </a:schemeClr>
              </a:solidFill>
            </a:endParaRPr>
          </a:p>
        </c:rich>
      </c:tx>
      <c:layout>
        <c:manualLayout>
          <c:xMode val="edge"/>
          <c:yMode val="edge"/>
          <c:x val="0.20841745092020361"/>
          <c:y val="5.2774483412605872E-3"/>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Pivot_Analysis!$E$2</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Pivot_Analysis!$D$3:$D$7</c:f>
              <c:strCache>
                <c:ptCount val="4"/>
                <c:pt idx="0">
                  <c:v>East</c:v>
                </c:pt>
                <c:pt idx="1">
                  <c:v>North</c:v>
                </c:pt>
                <c:pt idx="2">
                  <c:v>South</c:v>
                </c:pt>
                <c:pt idx="3">
                  <c:v>West</c:v>
                </c:pt>
              </c:strCache>
            </c:strRef>
          </c:cat>
          <c:val>
            <c:numRef>
              <c:f>Pivot_Analysis!$E$3:$E$7</c:f>
              <c:numCache>
                <c:formatCode>General</c:formatCode>
                <c:ptCount val="4"/>
                <c:pt idx="0">
                  <c:v>17044450</c:v>
                </c:pt>
                <c:pt idx="1">
                  <c:v>17885462</c:v>
                </c:pt>
                <c:pt idx="2">
                  <c:v>16358836</c:v>
                </c:pt>
                <c:pt idx="3">
                  <c:v>18012217</c:v>
                </c:pt>
              </c:numCache>
            </c:numRef>
          </c:val>
          <c:extLst>
            <c:ext xmlns:c16="http://schemas.microsoft.com/office/drawing/2014/chart" uri="{C3380CC4-5D6E-409C-BE32-E72D297353CC}">
              <c16:uniqueId val="{00000000-F4A8-4053-93AE-A52AEC1B5C2C}"/>
            </c:ext>
          </c:extLst>
        </c:ser>
        <c:dLbls>
          <c:showLegendKey val="0"/>
          <c:showVal val="0"/>
          <c:showCatName val="0"/>
          <c:showSerName val="0"/>
          <c:showPercent val="0"/>
          <c:showBubbleSize val="0"/>
        </c:dLbls>
        <c:gapWidth val="0"/>
        <c:axId val="323948704"/>
        <c:axId val="323965984"/>
      </c:barChart>
      <c:lineChart>
        <c:grouping val="standard"/>
        <c:varyColors val="0"/>
        <c:ser>
          <c:idx val="1"/>
          <c:order val="1"/>
          <c:tx>
            <c:strRef>
              <c:f>Pivot_Analysis!$F$2</c:f>
              <c:strCache>
                <c:ptCount val="1"/>
                <c:pt idx="0">
                  <c:v>Sum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Pivot_Analysis!$D$3:$D$7</c:f>
              <c:strCache>
                <c:ptCount val="4"/>
                <c:pt idx="0">
                  <c:v>East</c:v>
                </c:pt>
                <c:pt idx="1">
                  <c:v>North</c:v>
                </c:pt>
                <c:pt idx="2">
                  <c:v>South</c:v>
                </c:pt>
                <c:pt idx="3">
                  <c:v>West</c:v>
                </c:pt>
              </c:strCache>
            </c:strRef>
          </c:cat>
          <c:val>
            <c:numRef>
              <c:f>Pivot_Analysis!$F$3:$F$7</c:f>
              <c:numCache>
                <c:formatCode>General</c:formatCode>
                <c:ptCount val="4"/>
                <c:pt idx="0">
                  <c:v>5868</c:v>
                </c:pt>
                <c:pt idx="1">
                  <c:v>6656</c:v>
                </c:pt>
                <c:pt idx="2">
                  <c:v>6130</c:v>
                </c:pt>
                <c:pt idx="3">
                  <c:v>6479</c:v>
                </c:pt>
              </c:numCache>
            </c:numRef>
          </c:val>
          <c:smooth val="0"/>
          <c:extLst>
            <c:ext xmlns:c16="http://schemas.microsoft.com/office/drawing/2014/chart" uri="{C3380CC4-5D6E-409C-BE32-E72D297353CC}">
              <c16:uniqueId val="{00000001-F4A8-4053-93AE-A52AEC1B5C2C}"/>
            </c:ext>
          </c:extLst>
        </c:ser>
        <c:dLbls>
          <c:showLegendKey val="0"/>
          <c:showVal val="0"/>
          <c:showCatName val="0"/>
          <c:showSerName val="0"/>
          <c:showPercent val="0"/>
          <c:showBubbleSize val="0"/>
        </c:dLbls>
        <c:marker val="1"/>
        <c:smooth val="0"/>
        <c:axId val="1053637024"/>
        <c:axId val="1053644224"/>
      </c:lineChart>
      <c:catAx>
        <c:axId val="3239487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3965984"/>
        <c:crosses val="autoZero"/>
        <c:auto val="1"/>
        <c:lblAlgn val="ctr"/>
        <c:lblOffset val="100"/>
        <c:noMultiLvlLbl val="0"/>
      </c:catAx>
      <c:valAx>
        <c:axId val="323965984"/>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r>
                  <a:rPr lang="en-IN" sz="1000">
                    <a:solidFill>
                      <a:srgbClr val="0070C0"/>
                    </a:solidFill>
                  </a:rPr>
                  <a:t>Sum</a:t>
                </a:r>
                <a:r>
                  <a:rPr lang="en-IN" sz="1000" baseline="0">
                    <a:solidFill>
                      <a:srgbClr val="0070C0"/>
                    </a:solidFill>
                  </a:rPr>
                  <a:t> of </a:t>
                </a:r>
                <a:r>
                  <a:rPr lang="en-US" sz="1000" baseline="0">
                    <a:solidFill>
                      <a:srgbClr val="0070C0"/>
                    </a:solidFill>
                  </a:rPr>
                  <a:t>Revenue </a:t>
                </a:r>
                <a:endParaRPr lang="en-IN" sz="1000">
                  <a:solidFill>
                    <a:srgbClr val="0070C0"/>
                  </a:solidFill>
                </a:endParaRPr>
              </a:p>
            </c:rich>
          </c:tx>
          <c:layout>
            <c:manualLayout>
              <c:xMode val="edge"/>
              <c:yMode val="edge"/>
              <c:x val="8.3333333333333332E-3"/>
              <c:y val="0.32500396213359928"/>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endParaRPr lang="en-IN"/>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3948704"/>
        <c:crosses val="autoZero"/>
        <c:crossBetween val="between"/>
      </c:valAx>
      <c:valAx>
        <c:axId val="1053644224"/>
        <c:scaling>
          <c:orientation val="minMax"/>
        </c:scaling>
        <c:delete val="0"/>
        <c:axPos val="r"/>
        <c:title>
          <c:tx>
            <c:rich>
              <a:bodyPr rot="-5400000" spcFirstLastPara="1" vertOverflow="ellipsis" vert="horz" wrap="square" anchor="ctr" anchorCtr="1"/>
              <a:lstStyle/>
              <a:p>
                <a:pPr>
                  <a:defRPr sz="1000" b="1" i="0" u="none" strike="noStrike" kern="1200" cap="all" baseline="0">
                    <a:solidFill>
                      <a:srgbClr val="C00000"/>
                    </a:solidFill>
                    <a:latin typeface="+mn-lt"/>
                    <a:ea typeface="+mn-ea"/>
                    <a:cs typeface="+mn-cs"/>
                  </a:defRPr>
                </a:pPr>
                <a:r>
                  <a:rPr lang="en-IN" sz="1000">
                    <a:solidFill>
                      <a:srgbClr val="C00000"/>
                    </a:solidFill>
                  </a:rPr>
                  <a:t>Sum</a:t>
                </a:r>
                <a:r>
                  <a:rPr lang="en-IN" sz="1000" baseline="0">
                    <a:solidFill>
                      <a:srgbClr val="C00000"/>
                    </a:solidFill>
                  </a:rPr>
                  <a:t> of </a:t>
                </a:r>
                <a:r>
                  <a:rPr lang="en-US" sz="1000" baseline="0">
                    <a:solidFill>
                      <a:srgbClr val="C00000"/>
                    </a:solidFill>
                  </a:rPr>
                  <a:t>Quantity </a:t>
                </a:r>
                <a:endParaRPr lang="en-IN" sz="1000">
                  <a:solidFill>
                    <a:srgbClr val="C00000"/>
                  </a:solidFill>
                </a:endParaRPr>
              </a:p>
            </c:rich>
          </c:tx>
          <c:layout>
            <c:manualLayout>
              <c:xMode val="edge"/>
              <c:yMode val="edge"/>
              <c:x val="0.95281933508311456"/>
              <c:y val="0.30521996606094343"/>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C00000"/>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53637024"/>
        <c:crosses val="max"/>
        <c:crossBetween val="between"/>
      </c:valAx>
      <c:catAx>
        <c:axId val="1053637024"/>
        <c:scaling>
          <c:orientation val="minMax"/>
        </c:scaling>
        <c:delete val="1"/>
        <c:axPos val="t"/>
        <c:numFmt formatCode="General" sourceLinked="1"/>
        <c:majorTickMark val="out"/>
        <c:minorTickMark val="none"/>
        <c:tickLblPos val="nextTo"/>
        <c:crossAx val="105364422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rot="168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[supply_chain_mis_dataset.xlsx]Pivot_Analysis!PivotTable1</c:name>
    <c:fmtId val="18"/>
  </c:pivotSource>
  <c:chart>
    <c:title>
      <c:tx>
        <c:rich>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tx1">
                    <a:lumMod val="95000"/>
                    <a:lumOff val="5000"/>
                  </a:schemeClr>
                </a:solidFill>
              </a:rPr>
              <a:t>Suppliers Performance </a:t>
            </a:r>
          </a:p>
        </c:rich>
      </c:tx>
      <c:layout>
        <c:manualLayout>
          <c:xMode val="edge"/>
          <c:yMode val="edge"/>
          <c:x val="0.25403455818022747"/>
          <c:y val="2.314814814814814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4254333892835"/>
          <c:y val="0.16449074074074077"/>
          <c:w val="0.78805733175970449"/>
          <c:h val="0.68181357538640996"/>
        </c:manualLayout>
      </c:layout>
      <c:areaChart>
        <c:grouping val="standard"/>
        <c:varyColors val="0"/>
        <c:ser>
          <c:idx val="0"/>
          <c:order val="0"/>
          <c:tx>
            <c:strRef>
              <c:f>Pivot_Analysis!$I$13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0-5672-4EEA-9185-18D16AED3EDC}"/>
              </c:ext>
            </c:extLst>
          </c:dPt>
          <c:dLbls>
            <c:dLbl>
              <c:idx val="0"/>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72-4EEA-9185-18D16AED3ED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Pivot_Analysis!$H$14:$H$18</c:f>
              <c:strCache>
                <c:ptCount val="4"/>
                <c:pt idx="0">
                  <c:v>Supplier A</c:v>
                </c:pt>
                <c:pt idx="1">
                  <c:v>Supplier B</c:v>
                </c:pt>
                <c:pt idx="2">
                  <c:v>Supplier C</c:v>
                </c:pt>
                <c:pt idx="3">
                  <c:v>Supplier D</c:v>
                </c:pt>
              </c:strCache>
            </c:strRef>
          </c:cat>
          <c:val>
            <c:numRef>
              <c:f>Pivot_Analysis!$I$14:$I$18</c:f>
              <c:numCache>
                <c:formatCode>0.00</c:formatCode>
                <c:ptCount val="4"/>
                <c:pt idx="0">
                  <c:v>5.911290322580645</c:v>
                </c:pt>
                <c:pt idx="1">
                  <c:v>6.0156862745098039</c:v>
                </c:pt>
                <c:pt idx="2">
                  <c:v>5.7815126050420167</c:v>
                </c:pt>
                <c:pt idx="3">
                  <c:v>5.8648648648648649</c:v>
                </c:pt>
              </c:numCache>
            </c:numRef>
          </c:val>
          <c:extLst>
            <c:ext xmlns:c16="http://schemas.microsoft.com/office/drawing/2014/chart" uri="{C3380CC4-5D6E-409C-BE32-E72D297353CC}">
              <c16:uniqueId val="{00000001-5672-4EEA-9185-18D16AED3EDC}"/>
            </c:ext>
          </c:extLst>
        </c:ser>
        <c:dLbls>
          <c:showLegendKey val="0"/>
          <c:showVal val="1"/>
          <c:showCatName val="0"/>
          <c:showSerName val="0"/>
          <c:showPercent val="0"/>
          <c:showBubbleSize val="0"/>
        </c:dLbls>
        <c:axId val="414640912"/>
        <c:axId val="414639952"/>
      </c:areaChart>
      <c:catAx>
        <c:axId val="4146409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4639952"/>
        <c:crosses val="autoZero"/>
        <c:auto val="1"/>
        <c:lblAlgn val="ctr"/>
        <c:lblOffset val="100"/>
        <c:noMultiLvlLbl val="0"/>
      </c:catAx>
      <c:valAx>
        <c:axId val="414639952"/>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r>
                  <a:rPr lang="en-IN" sz="1000">
                    <a:solidFill>
                      <a:srgbClr val="0070C0"/>
                    </a:solidFill>
                  </a:rPr>
                  <a:t>avg</a:t>
                </a:r>
                <a:r>
                  <a:rPr lang="en-IN" sz="1000" baseline="0">
                    <a:solidFill>
                      <a:srgbClr val="0070C0"/>
                    </a:solidFill>
                  </a:rPr>
                  <a:t> delivery days</a:t>
                </a:r>
                <a:endParaRPr lang="en-IN" sz="1000">
                  <a:solidFill>
                    <a:srgbClr val="0070C0"/>
                  </a:solidFill>
                </a:endParaRPr>
              </a:p>
            </c:rich>
          </c:tx>
          <c:layout>
            <c:manualLayout>
              <c:xMode val="edge"/>
              <c:yMode val="edge"/>
              <c:x val="1.3136323730764156E-2"/>
              <c:y val="0.29509660250801983"/>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rgbClr val="0070C0"/>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4640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[supply_chain_mis_dataset.xlsx]Pivot_Analysis!Inventory Alerts</c:name>
    <c:fmtId val="3"/>
  </c:pivotSource>
  <c:chart>
    <c:title>
      <c:tx>
        <c:rich>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800">
                <a:solidFill>
                  <a:schemeClr val="tx1">
                    <a:lumMod val="95000"/>
                    <a:lumOff val="5000"/>
                  </a:schemeClr>
                </a:solidFill>
              </a:rPr>
              <a:t>Inventory</a:t>
            </a:r>
            <a:r>
              <a:rPr lang="en-US" sz="1800" baseline="0">
                <a:solidFill>
                  <a:schemeClr val="tx1">
                    <a:lumMod val="95000"/>
                    <a:lumOff val="5000"/>
                  </a:schemeClr>
                </a:solidFill>
              </a:rPr>
              <a:t> Alerts</a:t>
            </a:r>
            <a:endParaRPr lang="en-US" sz="18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0" tIns="0" rIns="0" bIns="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Pivot_Analysis!$E$13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32-4E11-81EF-81E12BE3EE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32-4E11-81EF-81E12BE3EE0B}"/>
              </c:ext>
            </c:extLst>
          </c:dPt>
          <c:dLbls>
            <c:spPr>
              <a:noFill/>
              <a:ln>
                <a:noFill/>
              </a:ln>
              <a:effectLst/>
            </c:spPr>
            <c:txPr>
              <a:bodyPr rot="0" spcFirstLastPara="1" vertOverflow="ellipsis" vert="horz" wrap="square" lIns="0" tIns="0" rIns="0" bIns="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Pivot_Analysis!$D$14:$D$16</c:f>
              <c:strCache>
                <c:ptCount val="2"/>
                <c:pt idx="0">
                  <c:v>Available</c:v>
                </c:pt>
                <c:pt idx="1">
                  <c:v>Reorder</c:v>
                </c:pt>
              </c:strCache>
            </c:strRef>
          </c:cat>
          <c:val>
            <c:numRef>
              <c:f>Pivot_Analysis!$E$14:$E$16</c:f>
              <c:numCache>
                <c:formatCode>General</c:formatCode>
                <c:ptCount val="2"/>
                <c:pt idx="0">
                  <c:v>875</c:v>
                </c:pt>
                <c:pt idx="1">
                  <c:v>125</c:v>
                </c:pt>
              </c:numCache>
            </c:numRef>
          </c:val>
          <c:extLst>
            <c:ext xmlns:c16="http://schemas.microsoft.com/office/drawing/2014/chart" uri="{C3380CC4-5D6E-409C-BE32-E72D297353CC}">
              <c16:uniqueId val="{00000004-5332-4E11-81EF-81E12BE3EE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918825971221687"/>
          <c:y val="0.48791593759113444"/>
          <c:w val="0.16308124383388248"/>
          <c:h val="0.193288130650335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99060</xdr:colOff>
      <xdr:row>19</xdr:row>
      <xdr:rowOff>49530</xdr:rowOff>
    </xdr:from>
    <xdr:to>
      <xdr:col>6</xdr:col>
      <xdr:colOff>434340</xdr:colOff>
      <xdr:row>33</xdr:row>
      <xdr:rowOff>76200</xdr:rowOff>
    </xdr:to>
    <xdr:graphicFrame macro="">
      <xdr:nvGraphicFramePr>
        <xdr:cNvPr id="3" name="Chart 2">
          <a:extLst>
            <a:ext uri="{FF2B5EF4-FFF2-40B4-BE49-F238E27FC236}">
              <a16:creationId xmlns:a16="http://schemas.microsoft.com/office/drawing/2014/main" id="{72EE3677-5BA8-F676-3F5D-B93472469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632460</xdr:colOff>
      <xdr:row>19</xdr:row>
      <xdr:rowOff>38100</xdr:rowOff>
    </xdr:from>
    <xdr:to>
      <xdr:col>11</xdr:col>
      <xdr:colOff>601980</xdr:colOff>
      <xdr:row>33</xdr:row>
      <xdr:rowOff>53340</xdr:rowOff>
    </xdr:to>
    <xdr:graphicFrame macro="">
      <xdr:nvGraphicFramePr>
        <xdr:cNvPr id="4" name="Chart 3">
          <a:extLst>
            <a:ext uri="{FF2B5EF4-FFF2-40B4-BE49-F238E27FC236}">
              <a16:creationId xmlns:a16="http://schemas.microsoft.com/office/drawing/2014/main" id="{081854B1-0D21-2B6E-D4F1-8E62756B3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685800</xdr:colOff>
      <xdr:row>1</xdr:row>
      <xdr:rowOff>19050</xdr:rowOff>
    </xdr:from>
    <xdr:to>
      <xdr:col>16</xdr:col>
      <xdr:colOff>167640</xdr:colOff>
      <xdr:row>15</xdr:row>
      <xdr:rowOff>156210</xdr:rowOff>
    </xdr:to>
    <xdr:graphicFrame macro="">
      <xdr:nvGraphicFramePr>
        <xdr:cNvPr id="2" name="Chart 1">
          <a:extLst>
            <a:ext uri="{FF2B5EF4-FFF2-40B4-BE49-F238E27FC236}">
              <a16:creationId xmlns:a16="http://schemas.microsoft.com/office/drawing/2014/main" id="{3E17D627-E945-AA17-773B-4762008CF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426720</xdr:colOff>
      <xdr:row>18</xdr:row>
      <xdr:rowOff>148590</xdr:rowOff>
    </xdr:from>
    <xdr:to>
      <xdr:col>19</xdr:col>
      <xdr:colOff>556260</xdr:colOff>
      <xdr:row>33</xdr:row>
      <xdr:rowOff>0</xdr:rowOff>
    </xdr:to>
    <xdr:graphicFrame macro="">
      <xdr:nvGraphicFramePr>
        <xdr:cNvPr id="5" name="Chart 4">
          <a:extLst>
            <a:ext uri="{FF2B5EF4-FFF2-40B4-BE49-F238E27FC236}">
              <a16:creationId xmlns:a16="http://schemas.microsoft.com/office/drawing/2014/main" id="{AB8A5558-7E80-0D2F-32B7-27030B678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289560</xdr:colOff>
      <xdr:row>35</xdr:row>
      <xdr:rowOff>49530</xdr:rowOff>
    </xdr:from>
    <xdr:to>
      <xdr:col>5</xdr:col>
      <xdr:colOff>15240</xdr:colOff>
      <xdr:row>50</xdr:row>
      <xdr:rowOff>49530</xdr:rowOff>
    </xdr:to>
    <xdr:graphicFrame macro="">
      <xdr:nvGraphicFramePr>
        <xdr:cNvPr id="6" name="Chart 5">
          <a:extLst>
            <a:ext uri="{FF2B5EF4-FFF2-40B4-BE49-F238E27FC236}">
              <a16:creationId xmlns:a16="http://schemas.microsoft.com/office/drawing/2014/main" id="{91FBC215-F483-380A-108C-B7D3F01AD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15240</xdr:colOff>
      <xdr:row>3</xdr:row>
      <xdr:rowOff>106680</xdr:rowOff>
    </xdr:from>
    <xdr:to>
      <xdr:col>3</xdr:col>
      <xdr:colOff>312420</xdr:colOff>
      <xdr:row>7</xdr:row>
      <xdr:rowOff>121920</xdr:rowOff>
    </xdr:to>
    <xdr:sp macro="" textlink="">
      <xdr:nvSpPr>
        <xdr:cNvPr id="2" name="Rectangle: Rounded Corners 1">
          <a:extLst>
            <a:ext uri="{FF2B5EF4-FFF2-40B4-BE49-F238E27FC236}">
              <a16:creationId xmlns:a16="http://schemas.microsoft.com/office/drawing/2014/main" id="{5DD38610-2D4B-687D-9D52-E629A8DB7AA3}"/>
            </a:ext>
          </a:extLst>
        </xdr:cNvPr>
        <xdr:cNvSpPr/>
      </xdr:nvSpPr>
      <xdr:spPr>
        <a:xfrm>
          <a:off x="15240" y="655320"/>
          <a:ext cx="2125980" cy="7467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15240</xdr:colOff>
      <xdr:row>0</xdr:row>
      <xdr:rowOff>15240</xdr:rowOff>
    </xdr:from>
    <xdr:to>
      <xdr:col>14</xdr:col>
      <xdr:colOff>198120</xdr:colOff>
      <xdr:row>3</xdr:row>
      <xdr:rowOff>45720</xdr:rowOff>
    </xdr:to>
    <xdr:sp macro="" textlink="">
      <xdr:nvSpPr>
        <xdr:cNvPr id="3" name="Rectangle: Rounded Corners 2">
          <a:extLst>
            <a:ext uri="{FF2B5EF4-FFF2-40B4-BE49-F238E27FC236}">
              <a16:creationId xmlns:a16="http://schemas.microsoft.com/office/drawing/2014/main" id="{58CDA57B-2260-F357-19EC-65D3BC48C264}"/>
            </a:ext>
          </a:extLst>
        </xdr:cNvPr>
        <xdr:cNvSpPr/>
      </xdr:nvSpPr>
      <xdr:spPr>
        <a:xfrm>
          <a:off x="15240" y="15240"/>
          <a:ext cx="8717280" cy="579120"/>
        </a:xfrm>
        <a:prstGeom prst="roundRect">
          <a:avLst/>
        </a:prstGeom>
        <a:solidFill>
          <a:schemeClr val="tx2">
            <a:lumMod val="40000"/>
            <a:lumOff val="60000"/>
          </a:schemeClr>
        </a:solidFill>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17</xdr:col>
      <xdr:colOff>302558</xdr:colOff>
      <xdr:row>5</xdr:row>
      <xdr:rowOff>58271</xdr:rowOff>
    </xdr:from>
    <xdr:to>
      <xdr:col>21</xdr:col>
      <xdr:colOff>57149</xdr:colOff>
      <xdr:row>11</xdr:row>
      <xdr:rowOff>85725</xdr:rowOff>
    </xdr:to>
    <xdr:sp macro="" textlink="">
      <xdr:nvSpPr>
        <xdr:cNvPr id="4" name="Rectangle: Rounded Corners 3">
          <a:extLst>
            <a:ext uri="{FF2B5EF4-FFF2-40B4-BE49-F238E27FC236}">
              <a16:creationId xmlns:a16="http://schemas.microsoft.com/office/drawing/2014/main" id="{35D0EDDB-3DAD-A989-CC71-A2E8B0450A3D}"/>
            </a:ext>
          </a:extLst>
        </xdr:cNvPr>
        <xdr:cNvSpPr/>
      </xdr:nvSpPr>
      <xdr:spPr>
        <a:xfrm>
          <a:off x="10665758" y="963146"/>
          <a:ext cx="2192991" cy="1113304"/>
        </a:xfrm>
        <a:prstGeom prst="roundRect">
          <a:avLst>
            <a:gd name="adj" fmla="val 1250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382905</xdr:colOff>
      <xdr:row>21</xdr:row>
      <xdr:rowOff>66676</xdr:rowOff>
    </xdr:from>
    <xdr:to>
      <xdr:col>16</xdr:col>
      <xdr:colOff>161925</xdr:colOff>
      <xdr:row>34</xdr:row>
      <xdr:rowOff>66675</xdr:rowOff>
    </xdr:to>
    <xdr:sp macro="" textlink="">
      <xdr:nvSpPr>
        <xdr:cNvPr id="5" name="Rectangle: Rounded Corners 4">
          <a:extLst>
            <a:ext uri="{FF2B5EF4-FFF2-40B4-BE49-F238E27FC236}">
              <a16:creationId xmlns:a16="http://schemas.microsoft.com/office/drawing/2014/main" id="{4D2BEEF5-0EAE-88EC-2B19-6D17F777D9E0}"/>
            </a:ext>
          </a:extLst>
        </xdr:cNvPr>
        <xdr:cNvSpPr/>
      </xdr:nvSpPr>
      <xdr:spPr>
        <a:xfrm>
          <a:off x="5869305" y="3867151"/>
          <a:ext cx="4046220" cy="2352674"/>
        </a:xfrm>
        <a:prstGeom prst="roundRect">
          <a:avLst>
            <a:gd name="adj" fmla="val 794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274320</xdr:colOff>
      <xdr:row>3</xdr:row>
      <xdr:rowOff>144780</xdr:rowOff>
    </xdr:from>
    <xdr:to>
      <xdr:col>3</xdr:col>
      <xdr:colOff>289560</xdr:colOff>
      <xdr:row>5</xdr:row>
      <xdr:rowOff>144780</xdr:rowOff>
    </xdr:to>
    <xdr:sp macro="" textlink="">
      <xdr:nvSpPr>
        <xdr:cNvPr id="7" name="Rectangle: Rounded Corners 6">
          <a:extLst>
            <a:ext uri="{FF2B5EF4-FFF2-40B4-BE49-F238E27FC236}">
              <a16:creationId xmlns:a16="http://schemas.microsoft.com/office/drawing/2014/main" id="{D72D1BA5-70BC-A6D7-4CFF-276F721B7E85}"/>
            </a:ext>
          </a:extLst>
        </xdr:cNvPr>
        <xdr:cNvSpPr/>
      </xdr:nvSpPr>
      <xdr:spPr>
        <a:xfrm>
          <a:off x="274320" y="693420"/>
          <a:ext cx="184404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800" b="1">
              <a:solidFill>
                <a:schemeClr val="tx1"/>
              </a:solidFill>
              <a:latin typeface="Times New Roman" panose="02020603050405020304" pitchFamily="18" charset="0"/>
              <a:cs typeface="Times New Roman" panose="02020603050405020304" pitchFamily="18" charset="0"/>
            </a:rPr>
            <a:t>      Total</a:t>
          </a:r>
          <a:r>
            <a:rPr lang="en-IN" sz="1800" b="1" baseline="0">
              <a:solidFill>
                <a:schemeClr val="tx1"/>
              </a:solidFill>
              <a:latin typeface="Times New Roman" panose="02020603050405020304" pitchFamily="18" charset="0"/>
              <a:cs typeface="Times New Roman" panose="02020603050405020304" pitchFamily="18" charset="0"/>
            </a:rPr>
            <a:t> </a:t>
          </a:r>
          <a:r>
            <a:rPr lang="en-US" sz="1800" b="1" baseline="0">
              <a:solidFill>
                <a:schemeClr val="tx1"/>
              </a:solidFill>
              <a:latin typeface="Times New Roman" panose="02020603050405020304" pitchFamily="18" charset="0"/>
              <a:cs typeface="Times New Roman" panose="02020603050405020304" pitchFamily="18" charset="0"/>
            </a:rPr>
            <a:t>Revenue </a:t>
          </a:r>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579120</xdr:colOff>
      <xdr:row>0</xdr:row>
      <xdr:rowOff>53340</xdr:rowOff>
    </xdr:from>
    <xdr:to>
      <xdr:col>13</xdr:col>
      <xdr:colOff>441960</xdr:colOff>
      <xdr:row>3</xdr:row>
      <xdr:rowOff>7620</xdr:rowOff>
    </xdr:to>
    <xdr:sp macro="" textlink="">
      <xdr:nvSpPr>
        <xdr:cNvPr id="6" name="TextBox 5">
          <a:extLst>
            <a:ext uri="{FF2B5EF4-FFF2-40B4-BE49-F238E27FC236}">
              <a16:creationId xmlns:a16="http://schemas.microsoft.com/office/drawing/2014/main" id="{5C3D8606-6E9B-7793-E9FF-715ACFF5F1E8}"/>
            </a:ext>
          </a:extLst>
        </xdr:cNvPr>
        <xdr:cNvSpPr txBox="1"/>
      </xdr:nvSpPr>
      <xdr:spPr>
        <a:xfrm>
          <a:off x="1188720" y="53340"/>
          <a:ext cx="71780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effectLst>
                <a:outerShdw blurRad="50800" dist="50800" dir="600000" algn="ctr" rotWithShape="0">
                  <a:srgbClr val="000000">
                    <a:alpha val="43137"/>
                  </a:srgbClr>
                </a:outerShdw>
              </a:effectLst>
              <a:latin typeface="Bahnschrift SemiBold SemiConden" panose="020B0502040204020203" pitchFamily="34" charset="0"/>
            </a:rPr>
            <a:t> SUPPLY</a:t>
          </a:r>
          <a:r>
            <a:rPr lang="en-IN" sz="2400" baseline="0">
              <a:effectLst>
                <a:outerShdw blurRad="50800" dist="50800" dir="600000" algn="ctr" rotWithShape="0">
                  <a:srgbClr val="000000">
                    <a:alpha val="43137"/>
                  </a:srgbClr>
                </a:outerShdw>
              </a:effectLst>
              <a:latin typeface="Bahnschrift SemiBold SemiConden" panose="020B0502040204020203" pitchFamily="34" charset="0"/>
            </a:rPr>
            <a:t> CHAIN MIS </a:t>
          </a:r>
          <a:r>
            <a:rPr lang="en-IN" sz="2400" baseline="0">
              <a:effectLst>
                <a:outerShdw blurRad="38100" dist="50800" dir="600000" algn="ctr" rotWithShape="0">
                  <a:srgbClr val="000000">
                    <a:alpha val="43137"/>
                  </a:srgbClr>
                </a:outerShdw>
              </a:effectLst>
              <a:latin typeface="Bahnschrift SemiBold SemiConden" panose="020B0502040204020203" pitchFamily="34" charset="0"/>
            </a:rPr>
            <a:t>DASHBOARD</a:t>
          </a:r>
          <a:endParaRPr lang="en-IN" sz="2400">
            <a:effectLst>
              <a:outerShdw blurRad="38100" dist="50800" dir="600000" algn="ctr" rotWithShape="0">
                <a:srgbClr val="000000">
                  <a:alpha val="43137"/>
                </a:srgbClr>
              </a:outerShdw>
            </a:effectLst>
            <a:latin typeface="Bahnschrift SemiBold SemiConden" panose="020B0502040204020203" pitchFamily="34" charset="0"/>
          </a:endParaRPr>
        </a:p>
      </xdr:txBody>
    </xdr:sp>
    <xdr:clientData/>
  </xdr:twoCellAnchor>
  <xdr:twoCellAnchor editAs="oneCell">
    <xdr:from>
      <xdr:col>3</xdr:col>
      <xdr:colOff>7620</xdr:colOff>
      <xdr:row>0</xdr:row>
      <xdr:rowOff>76200</xdr:rowOff>
    </xdr:from>
    <xdr:to>
      <xdr:col>4</xdr:col>
      <xdr:colOff>274320</xdr:colOff>
      <xdr:row>3</xdr:row>
      <xdr:rowOff>0</xdr:rowOff>
    </xdr:to>
    <xdr:pic>
      <xdr:nvPicPr>
        <xdr:cNvPr id="10" name="Graphic 9" descr="Bar graph with upward trend with solid fill">
          <a:extLst>
            <a:ext uri="{FF2B5EF4-FFF2-40B4-BE49-F238E27FC236}">
              <a16:creationId xmlns:a16="http://schemas.microsoft.com/office/drawing/2014/main" id="{0DD758EE-3DBB-0669-02BF-50B567896A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36420" y="76200"/>
          <a:ext cx="876300" cy="472440"/>
        </a:xfrm>
        <a:prstGeom prst="rect">
          <a:avLst/>
        </a:prstGeom>
      </xdr:spPr>
    </xdr:pic>
    <xdr:clientData/>
  </xdr:twoCellAnchor>
  <xdr:twoCellAnchor>
    <xdr:from>
      <xdr:col>0</xdr:col>
      <xdr:colOff>403860</xdr:colOff>
      <xdr:row>5</xdr:row>
      <xdr:rowOff>160020</xdr:rowOff>
    </xdr:from>
    <xdr:to>
      <xdr:col>3</xdr:col>
      <xdr:colOff>274320</xdr:colOff>
      <xdr:row>7</xdr:row>
      <xdr:rowOff>144780</xdr:rowOff>
    </xdr:to>
    <xdr:sp macro="" textlink="Pivot_Analysis!H40">
      <xdr:nvSpPr>
        <xdr:cNvPr id="11" name="TextBox 10">
          <a:extLst>
            <a:ext uri="{FF2B5EF4-FFF2-40B4-BE49-F238E27FC236}">
              <a16:creationId xmlns:a16="http://schemas.microsoft.com/office/drawing/2014/main" id="{9D56B757-7EFB-BDBF-6F9D-17BA56682728}"/>
            </a:ext>
          </a:extLst>
        </xdr:cNvPr>
        <xdr:cNvSpPr txBox="1"/>
      </xdr:nvSpPr>
      <xdr:spPr>
        <a:xfrm>
          <a:off x="403860" y="1074420"/>
          <a:ext cx="16992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EDCE10-EF91-4BC6-BCE8-E70B030DEED6}"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 6,93,00,965 </a:t>
          </a:fld>
          <a:endParaRPr lang="en-IN" sz="1600">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358140</xdr:colOff>
      <xdr:row>3</xdr:row>
      <xdr:rowOff>106680</xdr:rowOff>
    </xdr:from>
    <xdr:to>
      <xdr:col>7</xdr:col>
      <xdr:colOff>45720</xdr:colOff>
      <xdr:row>7</xdr:row>
      <xdr:rowOff>114300</xdr:rowOff>
    </xdr:to>
    <xdr:sp macro="" textlink="" fLocksText="0">
      <xdr:nvSpPr>
        <xdr:cNvPr id="8" name="Rectangle: Rounded Corners 7">
          <a:extLst>
            <a:ext uri="{FF2B5EF4-FFF2-40B4-BE49-F238E27FC236}">
              <a16:creationId xmlns:a16="http://schemas.microsoft.com/office/drawing/2014/main" id="{BB91F891-4226-DD8F-F37B-47F1CF31CDBF}"/>
            </a:ext>
          </a:extLst>
        </xdr:cNvPr>
        <xdr:cNvSpPr/>
      </xdr:nvSpPr>
      <xdr:spPr>
        <a:xfrm>
          <a:off x="2186940" y="655320"/>
          <a:ext cx="2125980" cy="73914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251460</xdr:colOff>
      <xdr:row>3</xdr:row>
      <xdr:rowOff>137160</xdr:rowOff>
    </xdr:from>
    <xdr:to>
      <xdr:col>7</xdr:col>
      <xdr:colOff>30480</xdr:colOff>
      <xdr:row>5</xdr:row>
      <xdr:rowOff>137160</xdr:rowOff>
    </xdr:to>
    <xdr:sp macro="" textlink="">
      <xdr:nvSpPr>
        <xdr:cNvPr id="12" name="Rectangle: Rounded Corners 11">
          <a:extLst>
            <a:ext uri="{FF2B5EF4-FFF2-40B4-BE49-F238E27FC236}">
              <a16:creationId xmlns:a16="http://schemas.microsoft.com/office/drawing/2014/main" id="{BEBEA0F1-6DBA-9F00-4612-9CDB46D5F3EC}"/>
            </a:ext>
          </a:extLst>
        </xdr:cNvPr>
        <xdr:cNvSpPr/>
      </xdr:nvSpPr>
      <xdr:spPr>
        <a:xfrm>
          <a:off x="2689860" y="685800"/>
          <a:ext cx="160782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800" b="1">
              <a:solidFill>
                <a:schemeClr val="tx1"/>
              </a:solidFill>
              <a:latin typeface="Times New Roman" panose="02020603050405020304" pitchFamily="18" charset="0"/>
              <a:cs typeface="Times New Roman" panose="02020603050405020304" pitchFamily="18" charset="0"/>
            </a:rPr>
            <a:t> Total</a:t>
          </a:r>
          <a:r>
            <a:rPr lang="en-IN" sz="1800" b="1" baseline="0">
              <a:solidFill>
                <a:schemeClr val="tx1"/>
              </a:solidFill>
              <a:latin typeface="Times New Roman" panose="02020603050405020304" pitchFamily="18" charset="0"/>
              <a:cs typeface="Times New Roman" panose="02020603050405020304" pitchFamily="18" charset="0"/>
            </a:rPr>
            <a:t> </a:t>
          </a:r>
          <a:r>
            <a:rPr lang="en-US" sz="1800" b="1" baseline="0">
              <a:solidFill>
                <a:schemeClr val="tx1"/>
              </a:solidFill>
              <a:latin typeface="Times New Roman" panose="02020603050405020304" pitchFamily="18" charset="0"/>
              <a:cs typeface="Times New Roman" panose="02020603050405020304" pitchFamily="18" charset="0"/>
            </a:rPr>
            <a:t>Orders </a:t>
          </a:r>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243840</xdr:colOff>
      <xdr:row>5</xdr:row>
      <xdr:rowOff>152400</xdr:rowOff>
    </xdr:from>
    <xdr:to>
      <xdr:col>7</xdr:col>
      <xdr:colOff>22860</xdr:colOff>
      <xdr:row>7</xdr:row>
      <xdr:rowOff>137160</xdr:rowOff>
    </xdr:to>
    <xdr:sp macro="" textlink="Pivot_Analysis!H41">
      <xdr:nvSpPr>
        <xdr:cNvPr id="13" name="TextBox 12">
          <a:extLst>
            <a:ext uri="{FF2B5EF4-FFF2-40B4-BE49-F238E27FC236}">
              <a16:creationId xmlns:a16="http://schemas.microsoft.com/office/drawing/2014/main" id="{16C9DCC0-AEE8-10C5-7F98-C264855668A3}"/>
            </a:ext>
          </a:extLst>
        </xdr:cNvPr>
        <xdr:cNvSpPr txBox="1"/>
      </xdr:nvSpPr>
      <xdr:spPr>
        <a:xfrm>
          <a:off x="2682240" y="1066800"/>
          <a:ext cx="16078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D5F114-3BD6-4CE3-A8C9-CBACB635097E}"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1000</a:t>
          </a:fld>
          <a:endParaRPr lang="en-IN" sz="1600">
            <a:latin typeface="Times New Roman" panose="02020603050405020304" pitchFamily="18" charset="0"/>
            <a:cs typeface="Times New Roman" panose="02020603050405020304" pitchFamily="18" charset="0"/>
          </a:endParaRPr>
        </a:p>
      </xdr:txBody>
    </xdr:sp>
    <xdr:clientData/>
  </xdr:twoCellAnchor>
  <xdr:twoCellAnchor editAs="absolute">
    <xdr:from>
      <xdr:col>7</xdr:col>
      <xdr:colOff>99060</xdr:colOff>
      <xdr:row>3</xdr:row>
      <xdr:rowOff>106680</xdr:rowOff>
    </xdr:from>
    <xdr:to>
      <xdr:col>10</xdr:col>
      <xdr:colOff>464820</xdr:colOff>
      <xdr:row>7</xdr:row>
      <xdr:rowOff>121920</xdr:rowOff>
    </xdr:to>
    <xdr:sp macro="" textlink="">
      <xdr:nvSpPr>
        <xdr:cNvPr id="14" name="Rectangle: Rounded Corners 13">
          <a:extLst>
            <a:ext uri="{FF2B5EF4-FFF2-40B4-BE49-F238E27FC236}">
              <a16:creationId xmlns:a16="http://schemas.microsoft.com/office/drawing/2014/main" id="{60902FFF-2AED-1ECF-738D-0880B994AB2F}"/>
            </a:ext>
          </a:extLst>
        </xdr:cNvPr>
        <xdr:cNvSpPr/>
      </xdr:nvSpPr>
      <xdr:spPr>
        <a:xfrm>
          <a:off x="4366260" y="655320"/>
          <a:ext cx="2194560" cy="7467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99060</xdr:colOff>
      <xdr:row>3</xdr:row>
      <xdr:rowOff>121920</xdr:rowOff>
    </xdr:from>
    <xdr:to>
      <xdr:col>10</xdr:col>
      <xdr:colOff>464820</xdr:colOff>
      <xdr:row>5</xdr:row>
      <xdr:rowOff>99060</xdr:rowOff>
    </xdr:to>
    <xdr:sp macro="" textlink="">
      <xdr:nvSpPr>
        <xdr:cNvPr id="15" name="Rectangle: Rounded Corners 14">
          <a:extLst>
            <a:ext uri="{FF2B5EF4-FFF2-40B4-BE49-F238E27FC236}">
              <a16:creationId xmlns:a16="http://schemas.microsoft.com/office/drawing/2014/main" id="{D11D5CB7-4BCD-9B01-D90C-F302FF7AAB9C}"/>
            </a:ext>
          </a:extLst>
        </xdr:cNvPr>
        <xdr:cNvSpPr/>
      </xdr:nvSpPr>
      <xdr:spPr>
        <a:xfrm>
          <a:off x="4366260" y="670560"/>
          <a:ext cx="2194560" cy="342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800" b="1">
              <a:solidFill>
                <a:schemeClr val="tx1"/>
              </a:solidFill>
              <a:latin typeface="Times New Roman" panose="02020603050405020304" pitchFamily="18" charset="0"/>
              <a:cs typeface="Times New Roman" panose="02020603050405020304" pitchFamily="18" charset="0"/>
            </a:rPr>
            <a:t>On-Time</a:t>
          </a:r>
          <a:r>
            <a:rPr lang="en-IN" sz="1800" b="1" baseline="0">
              <a:solidFill>
                <a:schemeClr val="tx1"/>
              </a:solidFill>
              <a:latin typeface="Times New Roman" panose="02020603050405020304" pitchFamily="18" charset="0"/>
              <a:cs typeface="Times New Roman" panose="02020603050405020304" pitchFamily="18" charset="0"/>
            </a:rPr>
            <a:t> Delivery %</a:t>
          </a:r>
          <a:r>
            <a:rPr lang="en-US" sz="1800" b="1" baseline="0">
              <a:solidFill>
                <a:schemeClr val="tx1"/>
              </a:solidFill>
              <a:latin typeface="Times New Roman" panose="02020603050405020304" pitchFamily="18" charset="0"/>
              <a:cs typeface="Times New Roman" panose="02020603050405020304" pitchFamily="18" charset="0"/>
            </a:rPr>
            <a:t> </a:t>
          </a:r>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601980</xdr:colOff>
      <xdr:row>5</xdr:row>
      <xdr:rowOff>152400</xdr:rowOff>
    </xdr:from>
    <xdr:to>
      <xdr:col>10</xdr:col>
      <xdr:colOff>441960</xdr:colOff>
      <xdr:row>7</xdr:row>
      <xdr:rowOff>137160</xdr:rowOff>
    </xdr:to>
    <xdr:sp macro="" textlink="Pivot_Analysis!H42">
      <xdr:nvSpPr>
        <xdr:cNvPr id="16" name="TextBox 15">
          <a:extLst>
            <a:ext uri="{FF2B5EF4-FFF2-40B4-BE49-F238E27FC236}">
              <a16:creationId xmlns:a16="http://schemas.microsoft.com/office/drawing/2014/main" id="{8150B345-1004-4B9C-902F-5A87FDF86B35}"/>
            </a:ext>
          </a:extLst>
        </xdr:cNvPr>
        <xdr:cNvSpPr txBox="1"/>
      </xdr:nvSpPr>
      <xdr:spPr>
        <a:xfrm>
          <a:off x="4869180" y="1066800"/>
          <a:ext cx="16687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E7C52D-B1EA-4431-B498-6EDE59B36757}"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46.20%</a:t>
          </a:fld>
          <a:endParaRPr lang="en-IN" sz="1600">
            <a:latin typeface="Times New Roman" panose="02020603050405020304" pitchFamily="18" charset="0"/>
            <a:cs typeface="Times New Roman" panose="02020603050405020304" pitchFamily="18" charset="0"/>
          </a:endParaRPr>
        </a:p>
      </xdr:txBody>
    </xdr:sp>
    <xdr:clientData/>
  </xdr:twoCellAnchor>
  <xdr:twoCellAnchor editAs="absolute">
    <xdr:from>
      <xdr:col>10</xdr:col>
      <xdr:colOff>518160</xdr:colOff>
      <xdr:row>3</xdr:row>
      <xdr:rowOff>106680</xdr:rowOff>
    </xdr:from>
    <xdr:to>
      <xdr:col>14</xdr:col>
      <xdr:colOff>205740</xdr:colOff>
      <xdr:row>7</xdr:row>
      <xdr:rowOff>121920</xdr:rowOff>
    </xdr:to>
    <xdr:sp macro="" textlink="">
      <xdr:nvSpPr>
        <xdr:cNvPr id="17" name="Rectangle: Rounded Corners 16">
          <a:extLst>
            <a:ext uri="{FF2B5EF4-FFF2-40B4-BE49-F238E27FC236}">
              <a16:creationId xmlns:a16="http://schemas.microsoft.com/office/drawing/2014/main" id="{7A432539-7E77-CE1F-FD7D-4FFD126724F3}"/>
            </a:ext>
          </a:extLst>
        </xdr:cNvPr>
        <xdr:cNvSpPr/>
      </xdr:nvSpPr>
      <xdr:spPr>
        <a:xfrm>
          <a:off x="6614160" y="655320"/>
          <a:ext cx="2125980" cy="7467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350520</xdr:colOff>
      <xdr:row>3</xdr:row>
      <xdr:rowOff>144780</xdr:rowOff>
    </xdr:from>
    <xdr:to>
      <xdr:col>14</xdr:col>
      <xdr:colOff>144780</xdr:colOff>
      <xdr:row>5</xdr:row>
      <xdr:rowOff>144780</xdr:rowOff>
    </xdr:to>
    <xdr:sp macro="" textlink="">
      <xdr:nvSpPr>
        <xdr:cNvPr id="18" name="Rectangle: Rounded Corners 17">
          <a:extLst>
            <a:ext uri="{FF2B5EF4-FFF2-40B4-BE49-F238E27FC236}">
              <a16:creationId xmlns:a16="http://schemas.microsoft.com/office/drawing/2014/main" id="{E2A48A33-A63D-1792-A5CA-62C5E7A9803D}"/>
            </a:ext>
          </a:extLst>
        </xdr:cNvPr>
        <xdr:cNvSpPr/>
      </xdr:nvSpPr>
      <xdr:spPr>
        <a:xfrm>
          <a:off x="7056120" y="693420"/>
          <a:ext cx="1623060" cy="3657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800" b="1">
              <a:solidFill>
                <a:schemeClr val="tx1"/>
              </a:solidFill>
              <a:latin typeface="Times New Roman" panose="02020603050405020304" pitchFamily="18" charset="0"/>
              <a:cs typeface="Times New Roman" panose="02020603050405020304" pitchFamily="18" charset="0"/>
            </a:rPr>
            <a:t>  Reorder</a:t>
          </a:r>
          <a:r>
            <a:rPr lang="en-IN" sz="1800" b="1" baseline="0">
              <a:solidFill>
                <a:schemeClr val="tx1"/>
              </a:solidFill>
              <a:latin typeface="Times New Roman" panose="02020603050405020304" pitchFamily="18" charset="0"/>
              <a:cs typeface="Times New Roman" panose="02020603050405020304" pitchFamily="18" charset="0"/>
            </a:rPr>
            <a:t> Items</a:t>
          </a:r>
          <a:r>
            <a:rPr lang="en-US" sz="1800" b="1" baseline="0">
              <a:solidFill>
                <a:schemeClr val="tx1"/>
              </a:solidFill>
              <a:latin typeface="Times New Roman" panose="02020603050405020304" pitchFamily="18" charset="0"/>
              <a:cs typeface="Times New Roman" panose="02020603050405020304" pitchFamily="18" charset="0"/>
            </a:rPr>
            <a:t> </a:t>
          </a:r>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396240</xdr:colOff>
      <xdr:row>5</xdr:row>
      <xdr:rowOff>137160</xdr:rowOff>
    </xdr:from>
    <xdr:to>
      <xdr:col>14</xdr:col>
      <xdr:colOff>228600</xdr:colOff>
      <xdr:row>7</xdr:row>
      <xdr:rowOff>91440</xdr:rowOff>
    </xdr:to>
    <xdr:sp macro="" textlink="Pivot_Analysis!H43">
      <xdr:nvSpPr>
        <xdr:cNvPr id="19" name="TextBox 18">
          <a:extLst>
            <a:ext uri="{FF2B5EF4-FFF2-40B4-BE49-F238E27FC236}">
              <a16:creationId xmlns:a16="http://schemas.microsoft.com/office/drawing/2014/main" id="{95122BB5-D989-72B4-9FE7-E4335273FA02}"/>
            </a:ext>
          </a:extLst>
        </xdr:cNvPr>
        <xdr:cNvSpPr txBox="1"/>
      </xdr:nvSpPr>
      <xdr:spPr>
        <a:xfrm>
          <a:off x="7101840" y="1051560"/>
          <a:ext cx="16611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948CEF-8B43-48DE-A8E1-06A64D80B17F}"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125</a:t>
          </a:fld>
          <a:endParaRPr lang="en-IN" sz="1600">
            <a:latin typeface="Times New Roman" panose="02020603050405020304" pitchFamily="18" charset="0"/>
            <a:cs typeface="Times New Roman" panose="02020603050405020304" pitchFamily="18" charset="0"/>
          </a:endParaRPr>
        </a:p>
      </xdr:txBody>
    </xdr:sp>
    <xdr:clientData/>
  </xdr:twoCellAnchor>
  <xdr:twoCellAnchor editAs="absolute">
    <xdr:from>
      <xdr:col>9</xdr:col>
      <xdr:colOff>377414</xdr:colOff>
      <xdr:row>8</xdr:row>
      <xdr:rowOff>8964</xdr:rowOff>
    </xdr:from>
    <xdr:to>
      <xdr:col>16</xdr:col>
      <xdr:colOff>133574</xdr:colOff>
      <xdr:row>21</xdr:row>
      <xdr:rowOff>0</xdr:rowOff>
    </xdr:to>
    <xdr:sp macro="" textlink="">
      <xdr:nvSpPr>
        <xdr:cNvPr id="24" name="Rectangle: Rounded Corners 23">
          <a:extLst>
            <a:ext uri="{FF2B5EF4-FFF2-40B4-BE49-F238E27FC236}">
              <a16:creationId xmlns:a16="http://schemas.microsoft.com/office/drawing/2014/main" id="{8E66357D-58D0-958E-C3AF-E825B5A1068D}"/>
            </a:ext>
          </a:extLst>
        </xdr:cNvPr>
        <xdr:cNvSpPr/>
      </xdr:nvSpPr>
      <xdr:spPr>
        <a:xfrm>
          <a:off x="5863814" y="1456764"/>
          <a:ext cx="4023360" cy="2343711"/>
        </a:xfrm>
        <a:prstGeom prst="roundRect">
          <a:avLst>
            <a:gd name="adj" fmla="val 794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243840</xdr:colOff>
      <xdr:row>8</xdr:row>
      <xdr:rowOff>7620</xdr:rowOff>
    </xdr:from>
    <xdr:to>
      <xdr:col>9</xdr:col>
      <xdr:colOff>320040</xdr:colOff>
      <xdr:row>21</xdr:row>
      <xdr:rowOff>19050</xdr:rowOff>
    </xdr:to>
    <xdr:sp macro="" textlink="">
      <xdr:nvSpPr>
        <xdr:cNvPr id="25" name="Rectangle: Rounded Corners 24">
          <a:extLst>
            <a:ext uri="{FF2B5EF4-FFF2-40B4-BE49-F238E27FC236}">
              <a16:creationId xmlns:a16="http://schemas.microsoft.com/office/drawing/2014/main" id="{D0809F02-9A9A-2886-7911-C85EFFA06D05}"/>
            </a:ext>
          </a:extLst>
        </xdr:cNvPr>
        <xdr:cNvSpPr/>
      </xdr:nvSpPr>
      <xdr:spPr>
        <a:xfrm>
          <a:off x="1463040" y="1455420"/>
          <a:ext cx="4343400" cy="2364105"/>
        </a:xfrm>
        <a:prstGeom prst="roundRect">
          <a:avLst>
            <a:gd name="adj" fmla="val 794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7620</xdr:colOff>
      <xdr:row>8</xdr:row>
      <xdr:rowOff>0</xdr:rowOff>
    </xdr:from>
    <xdr:to>
      <xdr:col>2</xdr:col>
      <xdr:colOff>175260</xdr:colOff>
      <xdr:row>27</xdr:row>
      <xdr:rowOff>0</xdr:rowOff>
    </xdr:to>
    <xdr:sp macro="" textlink="">
      <xdr:nvSpPr>
        <xdr:cNvPr id="26" name="Rectangle: Rounded Corners 25">
          <a:extLst>
            <a:ext uri="{FF2B5EF4-FFF2-40B4-BE49-F238E27FC236}">
              <a16:creationId xmlns:a16="http://schemas.microsoft.com/office/drawing/2014/main" id="{15BD30F7-B037-59A6-B283-A20EDDC0C5C7}"/>
            </a:ext>
          </a:extLst>
        </xdr:cNvPr>
        <xdr:cNvSpPr/>
      </xdr:nvSpPr>
      <xdr:spPr>
        <a:xfrm>
          <a:off x="7620" y="1434353"/>
          <a:ext cx="1386840" cy="3406588"/>
        </a:xfrm>
        <a:prstGeom prst="roundRect">
          <a:avLst>
            <a:gd name="adj" fmla="val 684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22860</xdr:colOff>
      <xdr:row>4</xdr:row>
      <xdr:rowOff>45720</xdr:rowOff>
    </xdr:from>
    <xdr:to>
      <xdr:col>1</xdr:col>
      <xdr:colOff>12349</xdr:colOff>
      <xdr:row>6</xdr:row>
      <xdr:rowOff>175259</xdr:rowOff>
    </xdr:to>
    <xdr:pic>
      <xdr:nvPicPr>
        <xdr:cNvPr id="28" name="Graphic 27" descr="Coins with solid fill">
          <a:extLst>
            <a:ext uri="{FF2B5EF4-FFF2-40B4-BE49-F238E27FC236}">
              <a16:creationId xmlns:a16="http://schemas.microsoft.com/office/drawing/2014/main" id="{297C062F-5411-B6D3-43C3-37D1DCDDD3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 y="777240"/>
          <a:ext cx="599089" cy="495299"/>
        </a:xfrm>
        <a:prstGeom prst="rect">
          <a:avLst/>
        </a:prstGeom>
      </xdr:spPr>
    </xdr:pic>
    <xdr:clientData/>
  </xdr:twoCellAnchor>
  <xdr:twoCellAnchor editAs="oneCell">
    <xdr:from>
      <xdr:col>3</xdr:col>
      <xdr:colOff>411480</xdr:colOff>
      <xdr:row>4</xdr:row>
      <xdr:rowOff>22860</xdr:rowOff>
    </xdr:from>
    <xdr:to>
      <xdr:col>4</xdr:col>
      <xdr:colOff>381000</xdr:colOff>
      <xdr:row>7</xdr:row>
      <xdr:rowOff>53340</xdr:rowOff>
    </xdr:to>
    <xdr:pic>
      <xdr:nvPicPr>
        <xdr:cNvPr id="30" name="Graphic 29" descr="Users with solid fill">
          <a:extLst>
            <a:ext uri="{FF2B5EF4-FFF2-40B4-BE49-F238E27FC236}">
              <a16:creationId xmlns:a16="http://schemas.microsoft.com/office/drawing/2014/main" id="{CA1BC09E-8A1C-CB99-C5E3-2A0E8ADA41C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40280" y="754380"/>
          <a:ext cx="579120" cy="579120"/>
        </a:xfrm>
        <a:prstGeom prst="rect">
          <a:avLst/>
        </a:prstGeom>
      </xdr:spPr>
    </xdr:pic>
    <xdr:clientData/>
  </xdr:twoCellAnchor>
  <xdr:twoCellAnchor editAs="oneCell">
    <xdr:from>
      <xdr:col>7</xdr:col>
      <xdr:colOff>121920</xdr:colOff>
      <xdr:row>4</xdr:row>
      <xdr:rowOff>152400</xdr:rowOff>
    </xdr:from>
    <xdr:to>
      <xdr:col>8</xdr:col>
      <xdr:colOff>53340</xdr:colOff>
      <xdr:row>7</xdr:row>
      <xdr:rowOff>144780</xdr:rowOff>
    </xdr:to>
    <xdr:pic>
      <xdr:nvPicPr>
        <xdr:cNvPr id="32" name="Graphic 31" descr="Clock with solid fill">
          <a:extLst>
            <a:ext uri="{FF2B5EF4-FFF2-40B4-BE49-F238E27FC236}">
              <a16:creationId xmlns:a16="http://schemas.microsoft.com/office/drawing/2014/main" id="{E97A93CB-7985-BCAA-3F60-3B7AC26100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89120" y="883920"/>
          <a:ext cx="541020" cy="541020"/>
        </a:xfrm>
        <a:prstGeom prst="rect">
          <a:avLst/>
        </a:prstGeom>
      </xdr:spPr>
    </xdr:pic>
    <xdr:clientData/>
  </xdr:twoCellAnchor>
  <xdr:twoCellAnchor editAs="oneCell">
    <xdr:from>
      <xdr:col>10</xdr:col>
      <xdr:colOff>586740</xdr:colOff>
      <xdr:row>4</xdr:row>
      <xdr:rowOff>45720</xdr:rowOff>
    </xdr:from>
    <xdr:to>
      <xdr:col>11</xdr:col>
      <xdr:colOff>510540</xdr:colOff>
      <xdr:row>7</xdr:row>
      <xdr:rowOff>30480</xdr:rowOff>
    </xdr:to>
    <xdr:pic>
      <xdr:nvPicPr>
        <xdr:cNvPr id="34" name="Graphic 33" descr="List with solid fill">
          <a:extLst>
            <a:ext uri="{FF2B5EF4-FFF2-40B4-BE49-F238E27FC236}">
              <a16:creationId xmlns:a16="http://schemas.microsoft.com/office/drawing/2014/main" id="{3A202F2A-E13D-906A-EAF9-939EBEF23D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82740" y="777240"/>
          <a:ext cx="533400" cy="533400"/>
        </a:xfrm>
        <a:prstGeom prst="rect">
          <a:avLst/>
        </a:prstGeom>
      </xdr:spPr>
    </xdr:pic>
    <xdr:clientData/>
  </xdr:twoCellAnchor>
  <xdr:twoCellAnchor editAs="oneCell">
    <xdr:from>
      <xdr:col>0</xdr:col>
      <xdr:colOff>45720</xdr:colOff>
      <xdr:row>17</xdr:row>
      <xdr:rowOff>38101</xdr:rowOff>
    </xdr:from>
    <xdr:to>
      <xdr:col>2</xdr:col>
      <xdr:colOff>143520</xdr:colOff>
      <xdr:row>25</xdr:row>
      <xdr:rowOff>144780</xdr:rowOff>
    </xdr:to>
    <mc:AlternateContent xmlns:mc="http://schemas.openxmlformats.org/markup-compatibility/2006" xmlns:a14="http://schemas.microsoft.com/office/drawing/2010/main">
      <mc:Choice Requires="a14">
        <xdr:graphicFrame macro="">
          <xdr:nvGraphicFramePr>
            <xdr:cNvPr id="35" name="Supplier">
              <a:extLst>
                <a:ext uri="{FF2B5EF4-FFF2-40B4-BE49-F238E27FC236}">
                  <a16:creationId xmlns:a16="http://schemas.microsoft.com/office/drawing/2014/main" id="{98E9DA32-88AC-4E56-BD47-3CF6739371B1}"/>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45720" y="3114676"/>
              <a:ext cx="131700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38100</xdr:colOff>
      <xdr:row>8</xdr:row>
      <xdr:rowOff>45720</xdr:rowOff>
    </xdr:from>
    <xdr:to>
      <xdr:col>2</xdr:col>
      <xdr:colOff>150900</xdr:colOff>
      <xdr:row>16</xdr:row>
      <xdr:rowOff>166680</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DCDEB311-9A83-4D46-B5F4-D66F9EB1D5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1493520"/>
              <a:ext cx="1332000" cy="156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245745</xdr:colOff>
      <xdr:row>21</xdr:row>
      <xdr:rowOff>66675</xdr:rowOff>
    </xdr:from>
    <xdr:to>
      <xdr:col>9</xdr:col>
      <xdr:colOff>314325</xdr:colOff>
      <xdr:row>34</xdr:row>
      <xdr:rowOff>57150</xdr:rowOff>
    </xdr:to>
    <xdr:sp macro="" textlink="">
      <xdr:nvSpPr>
        <xdr:cNvPr id="9" name="Rectangle: Rounded Corners 8">
          <a:extLst>
            <a:ext uri="{FF2B5EF4-FFF2-40B4-BE49-F238E27FC236}">
              <a16:creationId xmlns:a16="http://schemas.microsoft.com/office/drawing/2014/main" id="{4CCEDB98-7B94-E34F-3BB4-F901C5646897}"/>
            </a:ext>
          </a:extLst>
        </xdr:cNvPr>
        <xdr:cNvSpPr/>
      </xdr:nvSpPr>
      <xdr:spPr>
        <a:xfrm>
          <a:off x="1464945" y="3867150"/>
          <a:ext cx="4335780" cy="2343150"/>
        </a:xfrm>
        <a:prstGeom prst="roundRect">
          <a:avLst>
            <a:gd name="adj" fmla="val 794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236220</xdr:colOff>
      <xdr:row>8</xdr:row>
      <xdr:rowOff>53340</xdr:rowOff>
    </xdr:from>
    <xdr:to>
      <xdr:col>9</xdr:col>
      <xdr:colOff>281940</xdr:colOff>
      <xdr:row>21</xdr:row>
      <xdr:rowOff>76200</xdr:rowOff>
    </xdr:to>
    <xdr:graphicFrame macro="">
      <xdr:nvGraphicFramePr>
        <xdr:cNvPr id="20" name="Chart 19">
          <a:extLst>
            <a:ext uri="{FF2B5EF4-FFF2-40B4-BE49-F238E27FC236}">
              <a16:creationId xmlns:a16="http://schemas.microsoft.com/office/drawing/2014/main" id="{BFC0885F-47BF-4F37-87C6-0370292DD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9</xdr:col>
      <xdr:colOff>476026</xdr:colOff>
      <xdr:row>8</xdr:row>
      <xdr:rowOff>26893</xdr:rowOff>
    </xdr:from>
    <xdr:to>
      <xdr:col>16</xdr:col>
      <xdr:colOff>26894</xdr:colOff>
      <xdr:row>21</xdr:row>
      <xdr:rowOff>80684</xdr:rowOff>
    </xdr:to>
    <xdr:graphicFrame macro="">
      <xdr:nvGraphicFramePr>
        <xdr:cNvPr id="21" name="Chart 20">
          <a:extLst>
            <a:ext uri="{FF2B5EF4-FFF2-40B4-BE49-F238E27FC236}">
              <a16:creationId xmlns:a16="http://schemas.microsoft.com/office/drawing/2014/main" id="{61CB9B6D-17F7-4F85-98B9-E2D91A57F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276225</xdr:colOff>
      <xdr:row>21</xdr:row>
      <xdr:rowOff>66675</xdr:rowOff>
    </xdr:from>
    <xdr:to>
      <xdr:col>9</xdr:col>
      <xdr:colOff>314325</xdr:colOff>
      <xdr:row>34</xdr:row>
      <xdr:rowOff>28575</xdr:rowOff>
    </xdr:to>
    <xdr:graphicFrame macro="">
      <xdr:nvGraphicFramePr>
        <xdr:cNvPr id="22" name="Chart 21">
          <a:extLst>
            <a:ext uri="{FF2B5EF4-FFF2-40B4-BE49-F238E27FC236}">
              <a16:creationId xmlns:a16="http://schemas.microsoft.com/office/drawing/2014/main" id="{B7272717-687B-4408-95D8-F05D900BF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382904</xdr:colOff>
      <xdr:row>21</xdr:row>
      <xdr:rowOff>47625</xdr:rowOff>
    </xdr:from>
    <xdr:to>
      <xdr:col>16</xdr:col>
      <xdr:colOff>114299</xdr:colOff>
      <xdr:row>34</xdr:row>
      <xdr:rowOff>57151</xdr:rowOff>
    </xdr:to>
    <xdr:graphicFrame macro="">
      <xdr:nvGraphicFramePr>
        <xdr:cNvPr id="23" name="Chart 22">
          <a:extLst>
            <a:ext uri="{FF2B5EF4-FFF2-40B4-BE49-F238E27FC236}">
              <a16:creationId xmlns:a16="http://schemas.microsoft.com/office/drawing/2014/main" id="{DAE1BB96-4CB0-4600-AFC3-D8C1CCCC1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7.838938425928" createdVersion="8" refreshedVersion="8" minRefreshableVersion="3" recordCount="1000" xr:uid="{D30A14E3-DF31-4FE6-B0CA-FAB9851A463E}">
  <cacheSource type="worksheet">
    <worksheetSource ref="A1:N1001" sheet="Raw_Data"/>
  </cacheSource>
  <cacheFields count="16">
    <cacheField name="Order_ID" numFmtId="0">
      <sharedItems/>
    </cacheField>
    <cacheField name="Order_Date" numFmtId="164">
      <sharedItems containsSemiMixedTypes="0" containsNonDate="0" containsDate="1" containsString="0" minDate="2025-01-01T00:00:00" maxDate="2026-01-01T00:00:00" count="343">
        <d v="2025-05-29T00:00:00"/>
        <d v="2025-03-05T00:00:00"/>
        <d v="2025-10-04T00:00:00"/>
        <d v="2025-01-07T00:00:00"/>
        <d v="2025-03-14T00:00:00"/>
        <d v="2025-06-26T00:00:00"/>
        <d v="2025-09-08T00:00:00"/>
        <d v="2025-12-24T00:00:00"/>
        <d v="2025-11-24T00:00:00"/>
        <d v="2025-04-06T00:00:00"/>
        <d v="2025-11-26T00:00:00"/>
        <d v="2025-11-14T00:00:00"/>
        <d v="2025-03-08T00:00:00"/>
        <d v="2025-06-17T00:00:00"/>
        <d v="2025-03-06T00:00:00"/>
        <d v="2025-06-08T00:00:00"/>
        <d v="2025-05-05T00:00:00"/>
        <d v="2025-07-12T00:00:00"/>
        <d v="2025-06-23T00:00:00"/>
        <d v="2025-09-25T00:00:00"/>
        <d v="2025-05-18T00:00:00"/>
        <d v="2025-09-16T00:00:00"/>
        <d v="2025-08-08T00:00:00"/>
        <d v="2025-02-03T00:00:00"/>
        <d v="2025-02-25T00:00:00"/>
        <d v="2025-03-11T00:00:00"/>
        <d v="2025-08-16T00:00:00"/>
        <d v="2025-05-08T00:00:00"/>
        <d v="2025-06-07T00:00:00"/>
        <d v="2025-10-06T00:00:00"/>
        <d v="2025-07-11T00:00:00"/>
        <d v="2025-07-03T00:00:00"/>
        <d v="2025-05-17T00:00:00"/>
        <d v="2025-05-09T00:00:00"/>
        <d v="2025-02-09T00:00:00"/>
        <d v="2025-02-08T00:00:00"/>
        <d v="2025-04-20T00:00:00"/>
        <d v="2025-11-09T00:00:00"/>
        <d v="2025-05-23T00:00:00"/>
        <d v="2025-11-25T00:00:00"/>
        <d v="2025-01-11T00:00:00"/>
        <d v="2025-12-03T00:00:00"/>
        <d v="2025-07-10T00:00:00"/>
        <d v="2025-10-14T00:00:00"/>
        <d v="2025-10-11T00:00:00"/>
        <d v="2025-12-31T00:00:00"/>
        <d v="2025-06-03T00:00:00"/>
        <d v="2025-01-23T00:00:00"/>
        <d v="2025-07-22T00:00:00"/>
        <d v="2025-05-13T00:00:00"/>
        <d v="2025-08-29T00:00:00"/>
        <d v="2025-10-02T00:00:00"/>
        <d v="2025-04-13T00:00:00"/>
        <d v="2025-03-24T00:00:00"/>
        <d v="2025-10-13T00:00:00"/>
        <d v="2025-04-30T00:00:00"/>
        <d v="2025-05-02T00:00:00"/>
        <d v="2025-02-14T00:00:00"/>
        <d v="2025-01-13T00:00:00"/>
        <d v="2025-09-03T00:00:00"/>
        <d v="2025-06-27T00:00:00"/>
        <d v="2025-09-21T00:00:00"/>
        <d v="2025-05-10T00:00:00"/>
        <d v="2025-03-15T00:00:00"/>
        <d v="2025-08-20T00:00:00"/>
        <d v="2025-10-28T00:00:00"/>
        <d v="2025-11-21T00:00:00"/>
        <d v="2025-03-29T00:00:00"/>
        <d v="2025-03-20T00:00:00"/>
        <d v="2025-12-16T00:00:00"/>
        <d v="2025-06-11T00:00:00"/>
        <d v="2025-09-30T00:00:00"/>
        <d v="2025-08-28T00:00:00"/>
        <d v="2025-05-22T00:00:00"/>
        <d v="2025-12-05T00:00:00"/>
        <d v="2025-07-13T00:00:00"/>
        <d v="2025-09-19T00:00:00"/>
        <d v="2025-02-12T00:00:00"/>
        <d v="2025-07-25T00:00:00"/>
        <d v="2025-01-05T00:00:00"/>
        <d v="2025-02-04T00:00:00"/>
        <d v="2025-04-16T00:00:00"/>
        <d v="2025-08-14T00:00:00"/>
        <d v="2025-01-04T00:00:00"/>
        <d v="2025-09-07T00:00:00"/>
        <d v="2025-10-12T00:00:00"/>
        <d v="2025-01-15T00:00:00"/>
        <d v="2025-01-24T00:00:00"/>
        <d v="2025-10-09T00:00:00"/>
        <d v="2025-02-13T00:00:00"/>
        <d v="2025-04-08T00:00:00"/>
        <d v="2025-07-31T00:00:00"/>
        <d v="2025-06-16T00:00:00"/>
        <d v="2025-01-26T00:00:00"/>
        <d v="2025-10-03T00:00:00"/>
        <d v="2025-03-23T00:00:00"/>
        <d v="2025-10-22T00:00:00"/>
        <d v="2025-05-27T00:00:00"/>
        <d v="2025-12-02T00:00:00"/>
        <d v="2025-04-04T00:00:00"/>
        <d v="2025-01-31T00:00:00"/>
        <d v="2025-04-21T00:00:00"/>
        <d v="2025-12-21T00:00:00"/>
        <d v="2025-06-14T00:00:00"/>
        <d v="2025-08-18T00:00:00"/>
        <d v="2025-04-28T00:00:00"/>
        <d v="2025-12-11T00:00:00"/>
        <d v="2025-01-06T00:00:00"/>
        <d v="2025-03-26T00:00:00"/>
        <d v="2025-02-26T00:00:00"/>
        <d v="2025-07-06T00:00:00"/>
        <d v="2025-08-07T00:00:00"/>
        <d v="2025-08-06T00:00:00"/>
        <d v="2025-12-04T00:00:00"/>
        <d v="2025-02-10T00:00:00"/>
        <d v="2025-12-26T00:00:00"/>
        <d v="2025-09-17T00:00:00"/>
        <d v="2025-07-19T00:00:00"/>
        <d v="2025-07-20T00:00:00"/>
        <d v="2025-10-26T00:00:00"/>
        <d v="2025-03-25T00:00:00"/>
        <d v="2025-04-07T00:00:00"/>
        <d v="2025-03-10T00:00:00"/>
        <d v="2025-06-10T00:00:00"/>
        <d v="2025-08-22T00:00:00"/>
        <d v="2025-12-23T00:00:00"/>
        <d v="2025-11-18T00:00:00"/>
        <d v="2025-09-11T00:00:00"/>
        <d v="2025-04-17T00:00:00"/>
        <d v="2025-06-18T00:00:00"/>
        <d v="2025-01-22T00:00:00"/>
        <d v="2025-01-21T00:00:00"/>
        <d v="2025-09-06T00:00:00"/>
        <d v="2025-12-14T00:00:00"/>
        <d v="2025-09-28T00:00:00"/>
        <d v="2025-03-31T00:00:00"/>
        <d v="2025-08-11T00:00:00"/>
        <d v="2025-02-05T00:00:00"/>
        <d v="2025-05-30T00:00:00"/>
        <d v="2025-10-01T00:00:00"/>
        <d v="2025-02-11T00:00:00"/>
        <d v="2025-05-03T00:00:00"/>
        <d v="2025-07-21T00:00:00"/>
        <d v="2025-08-19T00:00:00"/>
        <d v="2025-07-30T00:00:00"/>
        <d v="2025-05-31T00:00:00"/>
        <d v="2025-06-12T00:00:00"/>
        <d v="2025-01-25T00:00:00"/>
        <d v="2025-11-16T00:00:00"/>
        <d v="2025-02-01T00:00:00"/>
        <d v="2025-10-16T00:00:00"/>
        <d v="2025-10-27T00:00:00"/>
        <d v="2025-06-02T00:00:00"/>
        <d v="2025-12-06T00:00:00"/>
        <d v="2025-12-27T00:00:00"/>
        <d v="2025-01-18T00:00:00"/>
        <d v="2025-08-13T00:00:00"/>
        <d v="2025-02-17T00:00:00"/>
        <d v="2025-08-30T00:00:00"/>
        <d v="2025-09-12T00:00:00"/>
        <d v="2025-08-09T00:00:00"/>
        <d v="2025-10-18T00:00:00"/>
        <d v="2025-11-07T00:00:00"/>
        <d v="2025-09-15T00:00:00"/>
        <d v="2025-03-16T00:00:00"/>
        <d v="2025-03-02T00:00:00"/>
        <d v="2025-03-21T00:00:00"/>
        <d v="2025-10-21T00:00:00"/>
        <d v="2025-08-17T00:00:00"/>
        <d v="2025-05-28T00:00:00"/>
        <d v="2025-12-29T00:00:00"/>
        <d v="2025-05-01T00:00:00"/>
        <d v="2025-11-10T00:00:00"/>
        <d v="2025-08-31T00:00:00"/>
        <d v="2025-03-03T00:00:00"/>
        <d v="2025-12-01T00:00:00"/>
        <d v="2025-07-05T00:00:00"/>
        <d v="2025-11-29T00:00:00"/>
        <d v="2025-11-08T00:00:00"/>
        <d v="2025-09-26T00:00:00"/>
        <d v="2025-04-19T00:00:00"/>
        <d v="2025-12-08T00:00:00"/>
        <d v="2025-05-15T00:00:00"/>
        <d v="2025-10-30T00:00:00"/>
        <d v="2025-11-03T00:00:00"/>
        <d v="2025-12-19T00:00:00"/>
        <d v="2025-09-13T00:00:00"/>
        <d v="2025-05-16T00:00:00"/>
        <d v="2025-06-21T00:00:00"/>
        <d v="2025-11-15T00:00:00"/>
        <d v="2025-01-02T00:00:00"/>
        <d v="2025-11-20T00:00:00"/>
        <d v="2025-08-23T00:00:00"/>
        <d v="2025-04-10T00:00:00"/>
        <d v="2025-01-29T00:00:00"/>
        <d v="2025-09-24T00:00:00"/>
        <d v="2025-03-17T00:00:00"/>
        <d v="2025-08-12T00:00:00"/>
        <d v="2025-02-18T00:00:00"/>
        <d v="2025-11-02T00:00:00"/>
        <d v="2025-05-12T00:00:00"/>
        <d v="2025-12-07T00:00:00"/>
        <d v="2025-09-01T00:00:00"/>
        <d v="2025-01-20T00:00:00"/>
        <d v="2025-12-30T00:00:00"/>
        <d v="2025-02-15T00:00:00"/>
        <d v="2025-07-23T00:00:00"/>
        <d v="2025-11-19T00:00:00"/>
        <d v="2025-03-18T00:00:00"/>
        <d v="2025-10-15T00:00:00"/>
        <d v="2025-02-19T00:00:00"/>
        <d v="2025-05-04T00:00:00"/>
        <d v="2025-07-15T00:00:00"/>
        <d v="2025-07-27T00:00:00"/>
        <d v="2025-09-10T00:00:00"/>
        <d v="2025-06-30T00:00:00"/>
        <d v="2025-11-30T00:00:00"/>
        <d v="2025-01-27T00:00:00"/>
        <d v="2025-06-09T00:00:00"/>
        <d v="2025-03-09T00:00:00"/>
        <d v="2025-06-22T00:00:00"/>
        <d v="2025-05-06T00:00:00"/>
        <d v="2025-02-02T00:00:00"/>
        <d v="2025-11-22T00:00:00"/>
        <d v="2025-03-04T00:00:00"/>
        <d v="2025-05-21T00:00:00"/>
        <d v="2025-07-17T00:00:00"/>
        <d v="2025-07-18T00:00:00"/>
        <d v="2025-12-22T00:00:00"/>
        <d v="2025-10-05T00:00:00"/>
        <d v="2025-02-22T00:00:00"/>
        <d v="2025-11-06T00:00:00"/>
        <d v="2025-12-13T00:00:00"/>
        <d v="2025-07-09T00:00:00"/>
        <d v="2025-05-25T00:00:00"/>
        <d v="2025-03-12T00:00:00"/>
        <d v="2025-03-07T00:00:00"/>
        <d v="2025-04-09T00:00:00"/>
        <d v="2025-12-28T00:00:00"/>
        <d v="2025-10-25T00:00:00"/>
        <d v="2025-04-29T00:00:00"/>
        <d v="2025-05-24T00:00:00"/>
        <d v="2025-01-12T00:00:00"/>
        <d v="2025-08-26T00:00:00"/>
        <d v="2025-06-15T00:00:00"/>
        <d v="2025-04-27T00:00:00"/>
        <d v="2025-07-16T00:00:00"/>
        <d v="2025-08-15T00:00:00"/>
        <d v="2025-03-30T00:00:00"/>
        <d v="2025-10-29T00:00:00"/>
        <d v="2025-10-08T00:00:00"/>
        <d v="2025-01-16T00:00:00"/>
        <d v="2025-12-09T00:00:00"/>
        <d v="2025-03-19T00:00:00"/>
        <d v="2025-09-05T00:00:00"/>
        <d v="2025-09-02T00:00:00"/>
        <d v="2025-04-01T00:00:00"/>
        <d v="2025-01-03T00:00:00"/>
        <d v="2025-06-20T00:00:00"/>
        <d v="2025-11-11T00:00:00"/>
        <d v="2025-01-10T00:00:00"/>
        <d v="2025-04-24T00:00:00"/>
        <d v="2025-03-01T00:00:00"/>
        <d v="2025-07-24T00:00:00"/>
        <d v="2025-03-22T00:00:00"/>
        <d v="2025-06-04T00:00:00"/>
        <d v="2025-10-19T00:00:00"/>
        <d v="2025-04-15T00:00:00"/>
        <d v="2025-06-06T00:00:00"/>
        <d v="2025-04-12T00:00:00"/>
        <d v="2025-06-19T00:00:00"/>
        <d v="2025-08-25T00:00:00"/>
        <d v="2025-01-14T00:00:00"/>
        <d v="2025-06-29T00:00:00"/>
        <d v="2025-01-09T00:00:00"/>
        <d v="2025-05-26T00:00:00"/>
        <d v="2025-03-28T00:00:00"/>
        <d v="2025-09-09T00:00:00"/>
        <d v="2025-08-04T00:00:00"/>
        <d v="2025-02-24T00:00:00"/>
        <d v="2025-07-26T00:00:00"/>
        <d v="2025-01-28T00:00:00"/>
        <d v="2025-10-10T00:00:00"/>
        <d v="2025-01-17T00:00:00"/>
        <d v="2025-09-18T00:00:00"/>
        <d v="2025-05-11T00:00:00"/>
        <d v="2025-07-08T00:00:00"/>
        <d v="2025-07-04T00:00:00"/>
        <d v="2025-02-20T00:00:00"/>
        <d v="2025-12-10T00:00:00"/>
        <d v="2025-01-01T00:00:00"/>
        <d v="2025-04-26T00:00:00"/>
        <d v="2025-10-23T00:00:00"/>
        <d v="2025-11-05T00:00:00"/>
        <d v="2025-04-18T00:00:00"/>
        <d v="2025-09-20T00:00:00"/>
        <d v="2025-08-05T00:00:00"/>
        <d v="2025-10-20T00:00:00"/>
        <d v="2025-12-18T00:00:00"/>
        <d v="2025-02-21T00:00:00"/>
        <d v="2025-02-28T00:00:00"/>
        <d v="2025-04-22T00:00:00"/>
        <d v="2025-06-28T00:00:00"/>
        <d v="2025-06-24T00:00:00"/>
        <d v="2025-04-02T00:00:00"/>
        <d v="2025-12-17T00:00:00"/>
        <d v="2025-07-02T00:00:00"/>
        <d v="2025-05-14T00:00:00"/>
        <d v="2025-02-16T00:00:00"/>
        <d v="2025-01-08T00:00:00"/>
        <d v="2025-02-23T00:00:00"/>
        <d v="2025-08-02T00:00:00"/>
        <d v="2025-08-27T00:00:00"/>
        <d v="2025-09-23T00:00:00"/>
        <d v="2025-06-01T00:00:00"/>
        <d v="2025-03-13T00:00:00"/>
        <d v="2025-04-11T00:00:00"/>
        <d v="2025-09-22T00:00:00"/>
        <d v="2025-10-17T00:00:00"/>
        <d v="2025-08-10T00:00:00"/>
        <d v="2025-10-31T00:00:00"/>
        <d v="2025-11-12T00:00:00"/>
        <d v="2025-11-23T00:00:00"/>
        <d v="2025-08-24T00:00:00"/>
        <d v="2025-02-07T00:00:00"/>
        <d v="2025-11-17T00:00:00"/>
        <d v="2025-04-03T00:00:00"/>
        <d v="2025-10-07T00:00:00"/>
        <d v="2025-09-27T00:00:00"/>
        <d v="2025-07-01T00:00:00"/>
        <d v="2025-05-19T00:00:00"/>
        <d v="2025-04-25T00:00:00"/>
        <d v="2025-07-29T00:00:00"/>
        <d v="2025-05-20T00:00:00"/>
        <d v="2025-02-06T00:00:00"/>
        <d v="2025-07-07T00:00:00"/>
        <d v="2025-06-13T00:00:00"/>
        <d v="2025-12-20T00:00:00"/>
        <d v="2025-07-28T00:00:00"/>
        <d v="2025-04-23T00:00:00"/>
        <d v="2025-08-01T00:00:00"/>
        <d v="2025-12-25T00:00:00"/>
        <d v="2025-12-12T00:00:00"/>
      </sharedItems>
      <fieldGroup par="15"/>
    </cacheField>
    <cacheField name="Region" numFmtId="0">
      <sharedItems count="4">
        <s v="West"/>
        <s v="North"/>
        <s v="South"/>
        <s v="East"/>
      </sharedItems>
    </cacheField>
    <cacheField name="Product_Category" numFmtId="0">
      <sharedItems/>
    </cacheField>
    <cacheField name="Product_Name" numFmtId="0">
      <sharedItems/>
    </cacheField>
    <cacheField name="Supplier" numFmtId="0">
      <sharedItems count="4">
        <s v="Supplier A"/>
        <s v="Supplier D"/>
        <s v="Supplier B"/>
        <s v="Supplier C"/>
      </sharedItems>
    </cacheField>
    <cacheField name="Quantity" numFmtId="0">
      <sharedItems containsSemiMixedTypes="0" containsString="0" containsNumber="1" containsInteger="1" minValue="1" maxValue="50"/>
    </cacheField>
    <cacheField name="Unit_Price" numFmtId="0">
      <sharedItems containsSemiMixedTypes="0" containsString="0" containsNumber="1" containsInteger="1" minValue="509" maxValue="4998"/>
    </cacheField>
    <cacheField name="Revenue" numFmtId="0">
      <sharedItems containsSemiMixedTypes="0" containsString="0" containsNumber="1" containsInteger="1" minValue="590" maxValue="228672"/>
    </cacheField>
    <cacheField name="Stock_Available" numFmtId="0">
      <sharedItems containsSemiMixedTypes="0" containsString="0" containsNumber="1" containsInteger="1" minValue="10" maxValue="299"/>
    </cacheField>
    <cacheField name="Delivery_Days" numFmtId="0">
      <sharedItems containsSemiMixedTypes="0" containsString="0" containsNumber="1" containsInteger="1" minValue="2" maxValue="10"/>
    </cacheField>
    <cacheField name="Delivery_Status" numFmtId="0">
      <sharedItems/>
    </cacheField>
    <cacheField name="Inventory_Status" numFmtId="0">
      <sharedItems count="2">
        <s v="Available"/>
        <s v="Reorder"/>
      </sharedItems>
    </cacheField>
    <cacheField name="Profit" numFmtId="0">
      <sharedItems containsSemiMixedTypes="0" containsString="0" containsNumber="1" minValue="118" maxValue="45734.400000000001"/>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_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1792429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x v="0"/>
    <s v="Apparel"/>
    <s v="Jacket"/>
    <x v="0"/>
    <n v="45"/>
    <n v="2447"/>
    <n v="110115"/>
    <n v="204"/>
    <n v="6"/>
    <s v="Delayed"/>
    <x v="0"/>
    <n v="22023"/>
  </r>
  <r>
    <s v="ORD0002"/>
    <x v="1"/>
    <x v="1"/>
    <s v="Apparel"/>
    <s v="T-Shirt"/>
    <x v="1"/>
    <n v="27"/>
    <n v="3102"/>
    <n v="83754"/>
    <n v="293"/>
    <n v="3"/>
    <s v="On Time"/>
    <x v="0"/>
    <n v="16750.8"/>
  </r>
  <r>
    <s v="ORD0003"/>
    <x v="2"/>
    <x v="1"/>
    <s v="Apparel"/>
    <s v="T-Shirt"/>
    <x v="2"/>
    <n v="46"/>
    <n v="1139"/>
    <n v="52394"/>
    <n v="103"/>
    <n v="5"/>
    <s v="On Time"/>
    <x v="0"/>
    <n v="10478.800000000001"/>
  </r>
  <r>
    <s v="ORD0004"/>
    <x v="3"/>
    <x v="2"/>
    <s v="Electronics"/>
    <s v="Mouse"/>
    <x v="3"/>
    <n v="31"/>
    <n v="3339"/>
    <n v="103509"/>
    <n v="298"/>
    <n v="4"/>
    <s v="On Time"/>
    <x v="0"/>
    <n v="20701.800000000003"/>
  </r>
  <r>
    <s v="ORD0005"/>
    <x v="4"/>
    <x v="0"/>
    <s v="Furniture"/>
    <s v="Table"/>
    <x v="3"/>
    <n v="40"/>
    <n v="1291"/>
    <n v="51640"/>
    <n v="288"/>
    <n v="7"/>
    <s v="Delayed"/>
    <x v="0"/>
    <n v="10328"/>
  </r>
  <r>
    <s v="ORD0006"/>
    <x v="5"/>
    <x v="0"/>
    <s v="Electronics"/>
    <s v="Keyboard"/>
    <x v="2"/>
    <n v="27"/>
    <n v="2371"/>
    <n v="64017"/>
    <n v="256"/>
    <n v="7"/>
    <s v="Delayed"/>
    <x v="0"/>
    <n v="12803.400000000001"/>
  </r>
  <r>
    <s v="ORD0007"/>
    <x v="6"/>
    <x v="0"/>
    <s v="Apparel"/>
    <s v="T-Shirt"/>
    <x v="0"/>
    <n v="6"/>
    <n v="3629"/>
    <n v="21774"/>
    <n v="102"/>
    <n v="2"/>
    <s v="On Time"/>
    <x v="0"/>
    <n v="4354.8"/>
  </r>
  <r>
    <s v="ORD0008"/>
    <x v="7"/>
    <x v="1"/>
    <s v="Furniture"/>
    <s v="Table"/>
    <x v="2"/>
    <n v="16"/>
    <n v="995"/>
    <n v="15920"/>
    <n v="267"/>
    <n v="9"/>
    <s v="Delayed"/>
    <x v="0"/>
    <n v="3184"/>
  </r>
  <r>
    <s v="ORD0009"/>
    <x v="8"/>
    <x v="3"/>
    <s v="Apparel"/>
    <s v="T-Shirt"/>
    <x v="3"/>
    <n v="16"/>
    <n v="1878"/>
    <n v="30048"/>
    <n v="100"/>
    <n v="3"/>
    <s v="On Time"/>
    <x v="0"/>
    <n v="6009.6"/>
  </r>
  <r>
    <s v="ORD0010"/>
    <x v="9"/>
    <x v="2"/>
    <s v="Furniture"/>
    <s v="Desk"/>
    <x v="0"/>
    <n v="44"/>
    <n v="1121"/>
    <n v="49324"/>
    <n v="64"/>
    <n v="7"/>
    <s v="Delayed"/>
    <x v="0"/>
    <n v="9864.8000000000011"/>
  </r>
  <r>
    <s v="ORD0011"/>
    <x v="10"/>
    <x v="1"/>
    <s v="Apparel"/>
    <s v="Cap"/>
    <x v="2"/>
    <n v="1"/>
    <n v="3133"/>
    <n v="3133"/>
    <n v="205"/>
    <n v="6"/>
    <s v="Delayed"/>
    <x v="0"/>
    <n v="626.6"/>
  </r>
  <r>
    <s v="ORD0012"/>
    <x v="11"/>
    <x v="1"/>
    <s v="Apparel"/>
    <s v="Jacket"/>
    <x v="0"/>
    <n v="28"/>
    <n v="1045"/>
    <n v="29260"/>
    <n v="269"/>
    <n v="5"/>
    <s v="On Time"/>
    <x v="0"/>
    <n v="5852"/>
  </r>
  <r>
    <s v="ORD0013"/>
    <x v="12"/>
    <x v="2"/>
    <s v="Furniture"/>
    <s v="Chair"/>
    <x v="3"/>
    <n v="4"/>
    <n v="2063"/>
    <n v="8252"/>
    <n v="165"/>
    <n v="9"/>
    <s v="Delayed"/>
    <x v="0"/>
    <n v="1650.4"/>
  </r>
  <r>
    <s v="ORD0014"/>
    <x v="13"/>
    <x v="3"/>
    <s v="Furniture"/>
    <s v="Table"/>
    <x v="1"/>
    <n v="29"/>
    <n v="2113"/>
    <n v="61277"/>
    <n v="171"/>
    <n v="3"/>
    <s v="On Time"/>
    <x v="0"/>
    <n v="12255.400000000001"/>
  </r>
  <r>
    <s v="ORD0015"/>
    <x v="14"/>
    <x v="1"/>
    <s v="Apparel"/>
    <s v="T-Shirt"/>
    <x v="2"/>
    <n v="12"/>
    <n v="3900"/>
    <n v="46800"/>
    <n v="236"/>
    <n v="7"/>
    <s v="Delayed"/>
    <x v="0"/>
    <n v="9360"/>
  </r>
  <r>
    <s v="ORD0016"/>
    <x v="15"/>
    <x v="0"/>
    <s v="Apparel"/>
    <s v="Jacket"/>
    <x v="1"/>
    <n v="34"/>
    <n v="3811"/>
    <n v="129574"/>
    <n v="276"/>
    <n v="3"/>
    <s v="On Time"/>
    <x v="0"/>
    <n v="25914.800000000003"/>
  </r>
  <r>
    <s v="ORD0017"/>
    <x v="16"/>
    <x v="3"/>
    <s v="Electronics"/>
    <s v="Mouse"/>
    <x v="0"/>
    <n v="40"/>
    <n v="3501"/>
    <n v="140040"/>
    <n v="180"/>
    <n v="9"/>
    <s v="Delayed"/>
    <x v="0"/>
    <n v="28008"/>
  </r>
  <r>
    <s v="ORD0018"/>
    <x v="17"/>
    <x v="0"/>
    <s v="Office Supplies"/>
    <s v="Printer Paper"/>
    <x v="3"/>
    <n v="7"/>
    <n v="1468"/>
    <n v="10276"/>
    <n v="134"/>
    <n v="5"/>
    <s v="On Time"/>
    <x v="0"/>
    <n v="2055.2000000000003"/>
  </r>
  <r>
    <s v="ORD0019"/>
    <x v="18"/>
    <x v="0"/>
    <s v="Apparel"/>
    <s v="Jacket"/>
    <x v="1"/>
    <n v="25"/>
    <n v="902"/>
    <n v="22550"/>
    <n v="48"/>
    <n v="9"/>
    <s v="Delayed"/>
    <x v="1"/>
    <n v="4510"/>
  </r>
  <r>
    <s v="ORD0020"/>
    <x v="19"/>
    <x v="1"/>
    <s v="Electronics"/>
    <s v="Mouse"/>
    <x v="1"/>
    <n v="4"/>
    <n v="3628"/>
    <n v="14512"/>
    <n v="179"/>
    <n v="9"/>
    <s v="Delayed"/>
    <x v="0"/>
    <n v="2902.4"/>
  </r>
  <r>
    <s v="ORD0021"/>
    <x v="20"/>
    <x v="1"/>
    <s v="Office Supplies"/>
    <s v="Notebook"/>
    <x v="0"/>
    <n v="20"/>
    <n v="3625"/>
    <n v="72500"/>
    <n v="288"/>
    <n v="3"/>
    <s v="On Time"/>
    <x v="0"/>
    <n v="14500"/>
  </r>
  <r>
    <s v="ORD0022"/>
    <x v="21"/>
    <x v="0"/>
    <s v="Apparel"/>
    <s v="Hoodie"/>
    <x v="3"/>
    <n v="5"/>
    <n v="1789"/>
    <n v="8945"/>
    <n v="256"/>
    <n v="6"/>
    <s v="Delayed"/>
    <x v="0"/>
    <n v="1789"/>
  </r>
  <r>
    <s v="ORD0023"/>
    <x v="22"/>
    <x v="1"/>
    <s v="Office Supplies"/>
    <s v="Notebook"/>
    <x v="0"/>
    <n v="6"/>
    <n v="3596"/>
    <n v="21576"/>
    <n v="209"/>
    <n v="4"/>
    <s v="On Time"/>
    <x v="0"/>
    <n v="4315.2"/>
  </r>
  <r>
    <s v="ORD0024"/>
    <x v="23"/>
    <x v="0"/>
    <s v="Office Supplies"/>
    <s v="Notebook"/>
    <x v="3"/>
    <n v="8"/>
    <n v="4571"/>
    <n v="36568"/>
    <n v="15"/>
    <n v="7"/>
    <s v="Delayed"/>
    <x v="1"/>
    <n v="7313.6"/>
  </r>
  <r>
    <s v="ORD0025"/>
    <x v="24"/>
    <x v="3"/>
    <s v="Electronics"/>
    <s v="Keyboard"/>
    <x v="3"/>
    <n v="28"/>
    <n v="4409"/>
    <n v="123452"/>
    <n v="63"/>
    <n v="8"/>
    <s v="Delayed"/>
    <x v="0"/>
    <n v="24690.400000000001"/>
  </r>
  <r>
    <s v="ORD0026"/>
    <x v="25"/>
    <x v="3"/>
    <s v="Apparel"/>
    <s v="Jacket"/>
    <x v="1"/>
    <n v="6"/>
    <n v="4149"/>
    <n v="24894"/>
    <n v="262"/>
    <n v="5"/>
    <s v="On Time"/>
    <x v="0"/>
    <n v="4978.8"/>
  </r>
  <r>
    <s v="ORD0027"/>
    <x v="26"/>
    <x v="1"/>
    <s v="Electronics"/>
    <s v="Monitor"/>
    <x v="1"/>
    <n v="7"/>
    <n v="4072"/>
    <n v="28504"/>
    <n v="138"/>
    <n v="10"/>
    <s v="Delayed"/>
    <x v="0"/>
    <n v="5700.8"/>
  </r>
  <r>
    <s v="ORD0028"/>
    <x v="27"/>
    <x v="0"/>
    <s v="Office Supplies"/>
    <s v="File Folder"/>
    <x v="0"/>
    <n v="23"/>
    <n v="3097"/>
    <n v="71231"/>
    <n v="28"/>
    <n v="4"/>
    <s v="On Time"/>
    <x v="1"/>
    <n v="14246.2"/>
  </r>
  <r>
    <s v="ORD0029"/>
    <x v="28"/>
    <x v="1"/>
    <s v="Furniture"/>
    <s v="Desk"/>
    <x v="0"/>
    <n v="18"/>
    <n v="4515"/>
    <n v="81270"/>
    <n v="245"/>
    <n v="5"/>
    <s v="On Time"/>
    <x v="0"/>
    <n v="16254"/>
  </r>
  <r>
    <s v="ORD0030"/>
    <x v="29"/>
    <x v="0"/>
    <s v="Office Supplies"/>
    <s v="Printer Paper"/>
    <x v="2"/>
    <n v="5"/>
    <n v="2067"/>
    <n v="10335"/>
    <n v="136"/>
    <n v="2"/>
    <s v="On Time"/>
    <x v="0"/>
    <n v="2067"/>
  </r>
  <r>
    <s v="ORD0031"/>
    <x v="30"/>
    <x v="1"/>
    <s v="Office Supplies"/>
    <s v="Notebook"/>
    <x v="1"/>
    <n v="7"/>
    <n v="4280"/>
    <n v="29960"/>
    <n v="79"/>
    <n v="6"/>
    <s v="Delayed"/>
    <x v="0"/>
    <n v="5992"/>
  </r>
  <r>
    <s v="ORD0032"/>
    <x v="31"/>
    <x v="1"/>
    <s v="Electronics"/>
    <s v="Keyboard"/>
    <x v="2"/>
    <n v="8"/>
    <n v="2564"/>
    <n v="20512"/>
    <n v="29"/>
    <n v="4"/>
    <s v="On Time"/>
    <x v="1"/>
    <n v="4102.4000000000005"/>
  </r>
  <r>
    <s v="ORD0033"/>
    <x v="32"/>
    <x v="3"/>
    <s v="Apparel"/>
    <s v="T-Shirt"/>
    <x v="2"/>
    <n v="22"/>
    <n v="3716"/>
    <n v="81752"/>
    <n v="220"/>
    <n v="9"/>
    <s v="Delayed"/>
    <x v="0"/>
    <n v="16350.400000000001"/>
  </r>
  <r>
    <s v="ORD0034"/>
    <x v="33"/>
    <x v="3"/>
    <s v="Furniture"/>
    <s v="Chair"/>
    <x v="2"/>
    <n v="38"/>
    <n v="2095"/>
    <n v="79610"/>
    <n v="112"/>
    <n v="4"/>
    <s v="On Time"/>
    <x v="0"/>
    <n v="15922"/>
  </r>
  <r>
    <s v="ORD0035"/>
    <x v="34"/>
    <x v="1"/>
    <s v="Apparel"/>
    <s v="Jacket"/>
    <x v="1"/>
    <n v="11"/>
    <n v="934"/>
    <n v="10274"/>
    <n v="102"/>
    <n v="3"/>
    <s v="On Time"/>
    <x v="0"/>
    <n v="2054.8000000000002"/>
  </r>
  <r>
    <s v="ORD0036"/>
    <x v="23"/>
    <x v="2"/>
    <s v="Apparel"/>
    <s v="Cap"/>
    <x v="3"/>
    <n v="19"/>
    <n v="4100"/>
    <n v="77900"/>
    <n v="296"/>
    <n v="9"/>
    <s v="Delayed"/>
    <x v="0"/>
    <n v="15580"/>
  </r>
  <r>
    <s v="ORD0037"/>
    <x v="35"/>
    <x v="0"/>
    <s v="Furniture"/>
    <s v="Cabinet"/>
    <x v="0"/>
    <n v="11"/>
    <n v="3730"/>
    <n v="41030"/>
    <n v="191"/>
    <n v="7"/>
    <s v="Delayed"/>
    <x v="0"/>
    <n v="8206"/>
  </r>
  <r>
    <s v="ORD0038"/>
    <x v="36"/>
    <x v="0"/>
    <s v="Furniture"/>
    <s v="Desk"/>
    <x v="1"/>
    <n v="25"/>
    <n v="3191"/>
    <n v="79775"/>
    <n v="287"/>
    <n v="5"/>
    <s v="On Time"/>
    <x v="0"/>
    <n v="15955"/>
  </r>
  <r>
    <s v="ORD0039"/>
    <x v="37"/>
    <x v="0"/>
    <s v="Furniture"/>
    <s v="Cabinet"/>
    <x v="0"/>
    <n v="35"/>
    <n v="2565"/>
    <n v="89775"/>
    <n v="205"/>
    <n v="4"/>
    <s v="On Time"/>
    <x v="0"/>
    <n v="17955"/>
  </r>
  <r>
    <s v="ORD0040"/>
    <x v="38"/>
    <x v="1"/>
    <s v="Apparel"/>
    <s v="Cap"/>
    <x v="3"/>
    <n v="28"/>
    <n v="1547"/>
    <n v="43316"/>
    <n v="273"/>
    <n v="9"/>
    <s v="Delayed"/>
    <x v="0"/>
    <n v="8663.2000000000007"/>
  </r>
  <r>
    <s v="ORD0041"/>
    <x v="39"/>
    <x v="0"/>
    <s v="Apparel"/>
    <s v="Cap"/>
    <x v="0"/>
    <n v="31"/>
    <n v="1757"/>
    <n v="54467"/>
    <n v="119"/>
    <n v="7"/>
    <s v="Delayed"/>
    <x v="0"/>
    <n v="10893.400000000001"/>
  </r>
  <r>
    <s v="ORD0042"/>
    <x v="40"/>
    <x v="1"/>
    <s v="Apparel"/>
    <s v="Cap"/>
    <x v="1"/>
    <n v="16"/>
    <n v="3698"/>
    <n v="59168"/>
    <n v="269"/>
    <n v="4"/>
    <s v="On Time"/>
    <x v="0"/>
    <n v="11833.6"/>
  </r>
  <r>
    <s v="ORD0043"/>
    <x v="41"/>
    <x v="2"/>
    <s v="Electronics"/>
    <s v="Laptop"/>
    <x v="2"/>
    <n v="41"/>
    <n v="3003"/>
    <n v="123123"/>
    <n v="170"/>
    <n v="10"/>
    <s v="Delayed"/>
    <x v="0"/>
    <n v="24624.600000000002"/>
  </r>
  <r>
    <s v="ORD0044"/>
    <x v="42"/>
    <x v="2"/>
    <s v="Apparel"/>
    <s v="T-Shirt"/>
    <x v="3"/>
    <n v="14"/>
    <n v="1377"/>
    <n v="19278"/>
    <n v="234"/>
    <n v="5"/>
    <s v="On Time"/>
    <x v="0"/>
    <n v="3855.6000000000004"/>
  </r>
  <r>
    <s v="ORD0045"/>
    <x v="43"/>
    <x v="3"/>
    <s v="Furniture"/>
    <s v="Table"/>
    <x v="1"/>
    <n v="34"/>
    <n v="1994"/>
    <n v="67796"/>
    <n v="266"/>
    <n v="10"/>
    <s v="Delayed"/>
    <x v="0"/>
    <n v="13559.2"/>
  </r>
  <r>
    <s v="ORD0046"/>
    <x v="3"/>
    <x v="3"/>
    <s v="Office Supplies"/>
    <s v="Notebook"/>
    <x v="2"/>
    <n v="20"/>
    <n v="1833"/>
    <n v="36660"/>
    <n v="97"/>
    <n v="5"/>
    <s v="On Time"/>
    <x v="0"/>
    <n v="7332"/>
  </r>
  <r>
    <s v="ORD0047"/>
    <x v="44"/>
    <x v="3"/>
    <s v="Apparel"/>
    <s v="Hoodie"/>
    <x v="3"/>
    <n v="25"/>
    <n v="4284"/>
    <n v="107100"/>
    <n v="254"/>
    <n v="5"/>
    <s v="On Time"/>
    <x v="0"/>
    <n v="21420"/>
  </r>
  <r>
    <s v="ORD0048"/>
    <x v="45"/>
    <x v="0"/>
    <s v="Office Supplies"/>
    <s v="File Folder"/>
    <x v="3"/>
    <n v="45"/>
    <n v="2664"/>
    <n v="119880"/>
    <n v="253"/>
    <n v="7"/>
    <s v="Delayed"/>
    <x v="0"/>
    <n v="23976"/>
  </r>
  <r>
    <s v="ORD0049"/>
    <x v="46"/>
    <x v="2"/>
    <s v="Office Supplies"/>
    <s v="Marker"/>
    <x v="1"/>
    <n v="3"/>
    <n v="3590"/>
    <n v="10770"/>
    <n v="209"/>
    <n v="5"/>
    <s v="On Time"/>
    <x v="0"/>
    <n v="2154"/>
  </r>
  <r>
    <s v="ORD0050"/>
    <x v="47"/>
    <x v="0"/>
    <s v="Furniture"/>
    <s v="Cabinet"/>
    <x v="0"/>
    <n v="50"/>
    <n v="2875"/>
    <n v="143750"/>
    <n v="212"/>
    <n v="3"/>
    <s v="On Time"/>
    <x v="0"/>
    <n v="28750"/>
  </r>
  <r>
    <s v="ORD0051"/>
    <x v="48"/>
    <x v="1"/>
    <s v="Apparel"/>
    <s v="Jacket"/>
    <x v="0"/>
    <n v="23"/>
    <n v="4493"/>
    <n v="103339"/>
    <n v="57"/>
    <n v="10"/>
    <s v="Delayed"/>
    <x v="0"/>
    <n v="20667.800000000003"/>
  </r>
  <r>
    <s v="ORD0052"/>
    <x v="49"/>
    <x v="0"/>
    <s v="Electronics"/>
    <s v="Keyboard"/>
    <x v="1"/>
    <n v="33"/>
    <n v="3146"/>
    <n v="103818"/>
    <n v="77"/>
    <n v="3"/>
    <s v="On Time"/>
    <x v="0"/>
    <n v="20763.600000000002"/>
  </r>
  <r>
    <s v="ORD0053"/>
    <x v="50"/>
    <x v="3"/>
    <s v="Apparel"/>
    <s v="Jacket"/>
    <x v="3"/>
    <n v="45"/>
    <n v="2847"/>
    <n v="128115"/>
    <n v="242"/>
    <n v="7"/>
    <s v="Delayed"/>
    <x v="0"/>
    <n v="25623"/>
  </r>
  <r>
    <s v="ORD0054"/>
    <x v="51"/>
    <x v="0"/>
    <s v="Office Supplies"/>
    <s v="Marker"/>
    <x v="1"/>
    <n v="6"/>
    <n v="4210"/>
    <n v="25260"/>
    <n v="144"/>
    <n v="6"/>
    <s v="Delayed"/>
    <x v="0"/>
    <n v="5052"/>
  </r>
  <r>
    <s v="ORD0055"/>
    <x v="52"/>
    <x v="2"/>
    <s v="Electronics"/>
    <s v="Keyboard"/>
    <x v="3"/>
    <n v="25"/>
    <n v="4146"/>
    <n v="103650"/>
    <n v="240"/>
    <n v="7"/>
    <s v="Delayed"/>
    <x v="0"/>
    <n v="20730"/>
  </r>
  <r>
    <s v="ORD0056"/>
    <x v="53"/>
    <x v="0"/>
    <s v="Electronics"/>
    <s v="Laptop"/>
    <x v="0"/>
    <n v="25"/>
    <n v="4964"/>
    <n v="124100"/>
    <n v="280"/>
    <n v="3"/>
    <s v="On Time"/>
    <x v="0"/>
    <n v="24820"/>
  </r>
  <r>
    <s v="ORD0057"/>
    <x v="54"/>
    <x v="3"/>
    <s v="Electronics"/>
    <s v="Mouse"/>
    <x v="2"/>
    <n v="23"/>
    <n v="684"/>
    <n v="15732"/>
    <n v="137"/>
    <n v="8"/>
    <s v="Delayed"/>
    <x v="0"/>
    <n v="3146.4"/>
  </r>
  <r>
    <s v="ORD0058"/>
    <x v="55"/>
    <x v="3"/>
    <s v="Furniture"/>
    <s v="Chair"/>
    <x v="3"/>
    <n v="48"/>
    <n v="743"/>
    <n v="35664"/>
    <n v="126"/>
    <n v="3"/>
    <s v="On Time"/>
    <x v="0"/>
    <n v="7132.8"/>
  </r>
  <r>
    <s v="ORD0059"/>
    <x v="56"/>
    <x v="2"/>
    <s v="Office Supplies"/>
    <s v="Notebook"/>
    <x v="2"/>
    <n v="28"/>
    <n v="1246"/>
    <n v="34888"/>
    <n v="46"/>
    <n v="7"/>
    <s v="Delayed"/>
    <x v="1"/>
    <n v="6977.6"/>
  </r>
  <r>
    <s v="ORD0060"/>
    <x v="57"/>
    <x v="0"/>
    <s v="Furniture"/>
    <s v="Cabinet"/>
    <x v="3"/>
    <n v="38"/>
    <n v="4761"/>
    <n v="180918"/>
    <n v="138"/>
    <n v="8"/>
    <s v="Delayed"/>
    <x v="0"/>
    <n v="36183.599999999999"/>
  </r>
  <r>
    <s v="ORD0061"/>
    <x v="55"/>
    <x v="0"/>
    <s v="Office Supplies"/>
    <s v="Notebook"/>
    <x v="2"/>
    <n v="7"/>
    <n v="4838"/>
    <n v="33866"/>
    <n v="16"/>
    <n v="7"/>
    <s v="Delayed"/>
    <x v="1"/>
    <n v="6773.2000000000007"/>
  </r>
  <r>
    <s v="ORD0062"/>
    <x v="58"/>
    <x v="3"/>
    <s v="Office Supplies"/>
    <s v="Printer Paper"/>
    <x v="2"/>
    <n v="11"/>
    <n v="749"/>
    <n v="8239"/>
    <n v="172"/>
    <n v="2"/>
    <s v="On Time"/>
    <x v="0"/>
    <n v="1647.8000000000002"/>
  </r>
  <r>
    <s v="ORD0063"/>
    <x v="59"/>
    <x v="0"/>
    <s v="Apparel"/>
    <s v="T-Shirt"/>
    <x v="2"/>
    <n v="36"/>
    <n v="3078"/>
    <n v="110808"/>
    <n v="105"/>
    <n v="7"/>
    <s v="Delayed"/>
    <x v="0"/>
    <n v="22161.600000000002"/>
  </r>
  <r>
    <s v="ORD0064"/>
    <x v="60"/>
    <x v="3"/>
    <s v="Furniture"/>
    <s v="Chair"/>
    <x v="2"/>
    <n v="42"/>
    <n v="3555"/>
    <n v="149310"/>
    <n v="171"/>
    <n v="3"/>
    <s v="On Time"/>
    <x v="0"/>
    <n v="29862"/>
  </r>
  <r>
    <s v="ORD0065"/>
    <x v="16"/>
    <x v="2"/>
    <s v="Office Supplies"/>
    <s v="Printer Paper"/>
    <x v="2"/>
    <n v="4"/>
    <n v="4850"/>
    <n v="19400"/>
    <n v="170"/>
    <n v="7"/>
    <s v="Delayed"/>
    <x v="0"/>
    <n v="3880"/>
  </r>
  <r>
    <s v="ORD0066"/>
    <x v="61"/>
    <x v="2"/>
    <s v="Furniture"/>
    <s v="Chair"/>
    <x v="3"/>
    <n v="41"/>
    <n v="3797"/>
    <n v="155677"/>
    <n v="176"/>
    <n v="10"/>
    <s v="Delayed"/>
    <x v="0"/>
    <n v="31135.4"/>
  </r>
  <r>
    <s v="ORD0067"/>
    <x v="4"/>
    <x v="1"/>
    <s v="Office Supplies"/>
    <s v="Printer Paper"/>
    <x v="3"/>
    <n v="16"/>
    <n v="2762"/>
    <n v="44192"/>
    <n v="189"/>
    <n v="9"/>
    <s v="Delayed"/>
    <x v="0"/>
    <n v="8838.4"/>
  </r>
  <r>
    <s v="ORD0068"/>
    <x v="62"/>
    <x v="3"/>
    <s v="Office Supplies"/>
    <s v="File Folder"/>
    <x v="3"/>
    <n v="50"/>
    <n v="3972"/>
    <n v="198600"/>
    <n v="118"/>
    <n v="2"/>
    <s v="On Time"/>
    <x v="0"/>
    <n v="39720"/>
  </r>
  <r>
    <s v="ORD0069"/>
    <x v="63"/>
    <x v="1"/>
    <s v="Office Supplies"/>
    <s v="Marker"/>
    <x v="1"/>
    <n v="41"/>
    <n v="2423"/>
    <n v="99343"/>
    <n v="241"/>
    <n v="6"/>
    <s v="Delayed"/>
    <x v="0"/>
    <n v="19868.600000000002"/>
  </r>
  <r>
    <s v="ORD0070"/>
    <x v="64"/>
    <x v="0"/>
    <s v="Furniture"/>
    <s v="Chair"/>
    <x v="3"/>
    <n v="41"/>
    <n v="1692"/>
    <n v="69372"/>
    <n v="154"/>
    <n v="4"/>
    <s v="On Time"/>
    <x v="0"/>
    <n v="13874.400000000001"/>
  </r>
  <r>
    <s v="ORD0071"/>
    <x v="25"/>
    <x v="1"/>
    <s v="Office Supplies"/>
    <s v="Printer Paper"/>
    <x v="3"/>
    <n v="32"/>
    <n v="2749"/>
    <n v="87968"/>
    <n v="191"/>
    <n v="5"/>
    <s v="On Time"/>
    <x v="0"/>
    <n v="17593.600000000002"/>
  </r>
  <r>
    <s v="ORD0072"/>
    <x v="65"/>
    <x v="0"/>
    <s v="Office Supplies"/>
    <s v="File Folder"/>
    <x v="3"/>
    <n v="17"/>
    <n v="2885"/>
    <n v="49045"/>
    <n v="98"/>
    <n v="4"/>
    <s v="On Time"/>
    <x v="0"/>
    <n v="9809"/>
  </r>
  <r>
    <s v="ORD0073"/>
    <x v="66"/>
    <x v="1"/>
    <s v="Furniture"/>
    <s v="Desk"/>
    <x v="2"/>
    <n v="11"/>
    <n v="2239"/>
    <n v="24629"/>
    <n v="184"/>
    <n v="7"/>
    <s v="Delayed"/>
    <x v="0"/>
    <n v="4925.8"/>
  </r>
  <r>
    <s v="ORD0074"/>
    <x v="67"/>
    <x v="1"/>
    <s v="Apparel"/>
    <s v="Jacket"/>
    <x v="3"/>
    <n v="30"/>
    <n v="1440"/>
    <n v="43200"/>
    <n v="99"/>
    <n v="2"/>
    <s v="On Time"/>
    <x v="0"/>
    <n v="8640"/>
  </r>
  <r>
    <s v="ORD0075"/>
    <x v="68"/>
    <x v="0"/>
    <s v="Office Supplies"/>
    <s v="Notebook"/>
    <x v="3"/>
    <n v="12"/>
    <n v="3461"/>
    <n v="41532"/>
    <n v="284"/>
    <n v="3"/>
    <s v="On Time"/>
    <x v="0"/>
    <n v="8306.4"/>
  </r>
  <r>
    <s v="ORD0076"/>
    <x v="69"/>
    <x v="3"/>
    <s v="Apparel"/>
    <s v="T-Shirt"/>
    <x v="1"/>
    <n v="29"/>
    <n v="4747"/>
    <n v="137663"/>
    <n v="297"/>
    <n v="9"/>
    <s v="Delayed"/>
    <x v="0"/>
    <n v="27532.600000000002"/>
  </r>
  <r>
    <s v="ORD0077"/>
    <x v="70"/>
    <x v="2"/>
    <s v="Apparel"/>
    <s v="Cap"/>
    <x v="2"/>
    <n v="21"/>
    <n v="4117"/>
    <n v="86457"/>
    <n v="69"/>
    <n v="8"/>
    <s v="Delayed"/>
    <x v="0"/>
    <n v="17291.400000000001"/>
  </r>
  <r>
    <s v="ORD0078"/>
    <x v="71"/>
    <x v="0"/>
    <s v="Electronics"/>
    <s v="Keyboard"/>
    <x v="1"/>
    <n v="33"/>
    <n v="3947"/>
    <n v="130251"/>
    <n v="90"/>
    <n v="2"/>
    <s v="On Time"/>
    <x v="0"/>
    <n v="26050.2"/>
  </r>
  <r>
    <s v="ORD0079"/>
    <x v="72"/>
    <x v="3"/>
    <s v="Electronics"/>
    <s v="Monitor"/>
    <x v="3"/>
    <n v="21"/>
    <n v="4539"/>
    <n v="95319"/>
    <n v="245"/>
    <n v="3"/>
    <s v="On Time"/>
    <x v="0"/>
    <n v="19063.8"/>
  </r>
  <r>
    <s v="ORD0080"/>
    <x v="73"/>
    <x v="0"/>
    <s v="Apparel"/>
    <s v="Cap"/>
    <x v="1"/>
    <n v="48"/>
    <n v="4764"/>
    <n v="228672"/>
    <n v="259"/>
    <n v="8"/>
    <s v="Delayed"/>
    <x v="0"/>
    <n v="45734.400000000001"/>
  </r>
  <r>
    <s v="ORD0081"/>
    <x v="74"/>
    <x v="3"/>
    <s v="Office Supplies"/>
    <s v="Printer Paper"/>
    <x v="3"/>
    <n v="7"/>
    <n v="3966"/>
    <n v="27762"/>
    <n v="221"/>
    <n v="8"/>
    <s v="Delayed"/>
    <x v="0"/>
    <n v="5552.4000000000005"/>
  </r>
  <r>
    <s v="ORD0082"/>
    <x v="75"/>
    <x v="1"/>
    <s v="Furniture"/>
    <s v="Chair"/>
    <x v="1"/>
    <n v="41"/>
    <n v="3519"/>
    <n v="144279"/>
    <n v="106"/>
    <n v="9"/>
    <s v="Delayed"/>
    <x v="0"/>
    <n v="28855.800000000003"/>
  </r>
  <r>
    <s v="ORD0083"/>
    <x v="76"/>
    <x v="1"/>
    <s v="Furniture"/>
    <s v="Desk"/>
    <x v="1"/>
    <n v="5"/>
    <n v="3288"/>
    <n v="16440"/>
    <n v="222"/>
    <n v="6"/>
    <s v="Delayed"/>
    <x v="0"/>
    <n v="3288"/>
  </r>
  <r>
    <s v="ORD0084"/>
    <x v="77"/>
    <x v="0"/>
    <s v="Office Supplies"/>
    <s v="Notebook"/>
    <x v="3"/>
    <n v="45"/>
    <n v="2451"/>
    <n v="110295"/>
    <n v="286"/>
    <n v="5"/>
    <s v="On Time"/>
    <x v="0"/>
    <n v="22059"/>
  </r>
  <r>
    <s v="ORD0085"/>
    <x v="62"/>
    <x v="2"/>
    <s v="Electronics"/>
    <s v="Monitor"/>
    <x v="0"/>
    <n v="10"/>
    <n v="2517"/>
    <n v="25170"/>
    <n v="61"/>
    <n v="9"/>
    <s v="Delayed"/>
    <x v="0"/>
    <n v="5034"/>
  </r>
  <r>
    <s v="ORD0086"/>
    <x v="78"/>
    <x v="3"/>
    <s v="Apparel"/>
    <s v="Hoodie"/>
    <x v="0"/>
    <n v="18"/>
    <n v="4907"/>
    <n v="88326"/>
    <n v="21"/>
    <n v="2"/>
    <s v="On Time"/>
    <x v="1"/>
    <n v="17665.2"/>
  </r>
  <r>
    <s v="ORD0087"/>
    <x v="79"/>
    <x v="0"/>
    <s v="Electronics"/>
    <s v="Keyboard"/>
    <x v="3"/>
    <n v="1"/>
    <n v="4982"/>
    <n v="4982"/>
    <n v="60"/>
    <n v="5"/>
    <s v="On Time"/>
    <x v="0"/>
    <n v="996.40000000000009"/>
  </r>
  <r>
    <s v="ORD0088"/>
    <x v="80"/>
    <x v="1"/>
    <s v="Electronics"/>
    <s v="Monitor"/>
    <x v="3"/>
    <n v="36"/>
    <n v="2546"/>
    <n v="91656"/>
    <n v="24"/>
    <n v="9"/>
    <s v="Delayed"/>
    <x v="1"/>
    <n v="18331.2"/>
  </r>
  <r>
    <s v="ORD0089"/>
    <x v="81"/>
    <x v="2"/>
    <s v="Office Supplies"/>
    <s v="File Folder"/>
    <x v="2"/>
    <n v="38"/>
    <n v="3269"/>
    <n v="124222"/>
    <n v="27"/>
    <n v="3"/>
    <s v="On Time"/>
    <x v="1"/>
    <n v="24844.400000000001"/>
  </r>
  <r>
    <s v="ORD0090"/>
    <x v="82"/>
    <x v="2"/>
    <s v="Office Supplies"/>
    <s v="Marker"/>
    <x v="1"/>
    <n v="4"/>
    <n v="2484"/>
    <n v="9936"/>
    <n v="295"/>
    <n v="4"/>
    <s v="On Time"/>
    <x v="0"/>
    <n v="1987.2"/>
  </r>
  <r>
    <s v="ORD0091"/>
    <x v="83"/>
    <x v="2"/>
    <s v="Electronics"/>
    <s v="Laptop"/>
    <x v="2"/>
    <n v="26"/>
    <n v="3096"/>
    <n v="80496"/>
    <n v="109"/>
    <n v="5"/>
    <s v="On Time"/>
    <x v="0"/>
    <n v="16099.2"/>
  </r>
  <r>
    <s v="ORD0092"/>
    <x v="13"/>
    <x v="1"/>
    <s v="Electronics"/>
    <s v="Keyboard"/>
    <x v="0"/>
    <n v="14"/>
    <n v="2976"/>
    <n v="41664"/>
    <n v="174"/>
    <n v="3"/>
    <s v="On Time"/>
    <x v="0"/>
    <n v="8332.8000000000011"/>
  </r>
  <r>
    <s v="ORD0093"/>
    <x v="84"/>
    <x v="3"/>
    <s v="Apparel"/>
    <s v="Jacket"/>
    <x v="3"/>
    <n v="42"/>
    <n v="621"/>
    <n v="26082"/>
    <n v="43"/>
    <n v="4"/>
    <s v="On Time"/>
    <x v="1"/>
    <n v="5216.4000000000005"/>
  </r>
  <r>
    <s v="ORD0094"/>
    <x v="85"/>
    <x v="1"/>
    <s v="Apparel"/>
    <s v="Cap"/>
    <x v="0"/>
    <n v="33"/>
    <n v="3610"/>
    <n v="119130"/>
    <n v="118"/>
    <n v="8"/>
    <s v="Delayed"/>
    <x v="0"/>
    <n v="23826"/>
  </r>
  <r>
    <s v="ORD0095"/>
    <x v="86"/>
    <x v="1"/>
    <s v="Office Supplies"/>
    <s v="Notebook"/>
    <x v="3"/>
    <n v="28"/>
    <n v="599"/>
    <n v="16772"/>
    <n v="28"/>
    <n v="4"/>
    <s v="On Time"/>
    <x v="1"/>
    <n v="3354.4"/>
  </r>
  <r>
    <s v="ORD0096"/>
    <x v="5"/>
    <x v="0"/>
    <s v="Electronics"/>
    <s v="Monitor"/>
    <x v="1"/>
    <n v="30"/>
    <n v="4131"/>
    <n v="123930"/>
    <n v="298"/>
    <n v="3"/>
    <s v="On Time"/>
    <x v="0"/>
    <n v="24786"/>
  </r>
  <r>
    <s v="ORD0097"/>
    <x v="87"/>
    <x v="3"/>
    <s v="Office Supplies"/>
    <s v="File Folder"/>
    <x v="1"/>
    <n v="18"/>
    <n v="4679"/>
    <n v="84222"/>
    <n v="163"/>
    <n v="5"/>
    <s v="On Time"/>
    <x v="0"/>
    <n v="16844.400000000001"/>
  </r>
  <r>
    <s v="ORD0098"/>
    <x v="0"/>
    <x v="1"/>
    <s v="Furniture"/>
    <s v="Table"/>
    <x v="0"/>
    <n v="23"/>
    <n v="3380"/>
    <n v="77740"/>
    <n v="254"/>
    <n v="4"/>
    <s v="On Time"/>
    <x v="0"/>
    <n v="15548"/>
  </r>
  <r>
    <s v="ORD0099"/>
    <x v="88"/>
    <x v="3"/>
    <s v="Office Supplies"/>
    <s v="Notebook"/>
    <x v="0"/>
    <n v="48"/>
    <n v="4592"/>
    <n v="220416"/>
    <n v="75"/>
    <n v="10"/>
    <s v="Delayed"/>
    <x v="0"/>
    <n v="44083.200000000004"/>
  </r>
  <r>
    <s v="ORD0100"/>
    <x v="89"/>
    <x v="1"/>
    <s v="Furniture"/>
    <s v="Chair"/>
    <x v="0"/>
    <n v="28"/>
    <n v="1959"/>
    <n v="54852"/>
    <n v="84"/>
    <n v="6"/>
    <s v="Delayed"/>
    <x v="0"/>
    <n v="10970.400000000001"/>
  </r>
  <r>
    <s v="ORD0101"/>
    <x v="90"/>
    <x v="2"/>
    <s v="Electronics"/>
    <s v="Laptop"/>
    <x v="1"/>
    <n v="37"/>
    <n v="3014"/>
    <n v="111518"/>
    <n v="167"/>
    <n v="7"/>
    <s v="Delayed"/>
    <x v="0"/>
    <n v="22303.600000000002"/>
  </r>
  <r>
    <s v="ORD0102"/>
    <x v="15"/>
    <x v="2"/>
    <s v="Furniture"/>
    <s v="Desk"/>
    <x v="1"/>
    <n v="19"/>
    <n v="3047"/>
    <n v="57893"/>
    <n v="215"/>
    <n v="5"/>
    <s v="On Time"/>
    <x v="0"/>
    <n v="11578.6"/>
  </r>
  <r>
    <s v="ORD0103"/>
    <x v="91"/>
    <x v="1"/>
    <s v="Office Supplies"/>
    <s v="Printer Paper"/>
    <x v="3"/>
    <n v="16"/>
    <n v="2888"/>
    <n v="46208"/>
    <n v="252"/>
    <n v="6"/>
    <s v="Delayed"/>
    <x v="0"/>
    <n v="9241.6"/>
  </r>
  <r>
    <s v="ORD0104"/>
    <x v="92"/>
    <x v="1"/>
    <s v="Electronics"/>
    <s v="Mouse"/>
    <x v="0"/>
    <n v="34"/>
    <n v="4167"/>
    <n v="141678"/>
    <n v="265"/>
    <n v="7"/>
    <s v="Delayed"/>
    <x v="0"/>
    <n v="28335.600000000002"/>
  </r>
  <r>
    <s v="ORD0105"/>
    <x v="38"/>
    <x v="1"/>
    <s v="Electronics"/>
    <s v="Mouse"/>
    <x v="0"/>
    <n v="48"/>
    <n v="2110"/>
    <n v="101280"/>
    <n v="144"/>
    <n v="9"/>
    <s v="Delayed"/>
    <x v="0"/>
    <n v="20256"/>
  </r>
  <r>
    <s v="ORD0106"/>
    <x v="93"/>
    <x v="0"/>
    <s v="Furniture"/>
    <s v="Cabinet"/>
    <x v="1"/>
    <n v="11"/>
    <n v="3263"/>
    <n v="35893"/>
    <n v="163"/>
    <n v="6"/>
    <s v="Delayed"/>
    <x v="0"/>
    <n v="7178.6"/>
  </r>
  <r>
    <s v="ORD0107"/>
    <x v="94"/>
    <x v="2"/>
    <s v="Electronics"/>
    <s v="Keyboard"/>
    <x v="2"/>
    <n v="41"/>
    <n v="2863"/>
    <n v="117383"/>
    <n v="90"/>
    <n v="3"/>
    <s v="On Time"/>
    <x v="0"/>
    <n v="23476.600000000002"/>
  </r>
  <r>
    <s v="ORD0108"/>
    <x v="24"/>
    <x v="1"/>
    <s v="Apparel"/>
    <s v="Hoodie"/>
    <x v="0"/>
    <n v="25"/>
    <n v="4936"/>
    <n v="123400"/>
    <n v="25"/>
    <n v="8"/>
    <s v="Delayed"/>
    <x v="1"/>
    <n v="24680"/>
  </r>
  <r>
    <s v="ORD0109"/>
    <x v="55"/>
    <x v="3"/>
    <s v="Office Supplies"/>
    <s v="File Folder"/>
    <x v="1"/>
    <n v="45"/>
    <n v="1517"/>
    <n v="68265"/>
    <n v="126"/>
    <n v="5"/>
    <s v="On Time"/>
    <x v="0"/>
    <n v="13653"/>
  </r>
  <r>
    <s v="ORD0110"/>
    <x v="95"/>
    <x v="1"/>
    <s v="Office Supplies"/>
    <s v="Marker"/>
    <x v="0"/>
    <n v="31"/>
    <n v="4478"/>
    <n v="138818"/>
    <n v="63"/>
    <n v="6"/>
    <s v="Delayed"/>
    <x v="0"/>
    <n v="27763.600000000002"/>
  </r>
  <r>
    <s v="ORD0111"/>
    <x v="96"/>
    <x v="2"/>
    <s v="Office Supplies"/>
    <s v="Marker"/>
    <x v="1"/>
    <n v="3"/>
    <n v="1313"/>
    <n v="3939"/>
    <n v="54"/>
    <n v="5"/>
    <s v="On Time"/>
    <x v="0"/>
    <n v="787.80000000000007"/>
  </r>
  <r>
    <s v="ORD0112"/>
    <x v="97"/>
    <x v="1"/>
    <s v="Electronics"/>
    <s v="Monitor"/>
    <x v="2"/>
    <n v="10"/>
    <n v="3672"/>
    <n v="36720"/>
    <n v="65"/>
    <n v="4"/>
    <s v="On Time"/>
    <x v="0"/>
    <n v="7344"/>
  </r>
  <r>
    <s v="ORD0113"/>
    <x v="98"/>
    <x v="0"/>
    <s v="Electronics"/>
    <s v="Monitor"/>
    <x v="0"/>
    <n v="4"/>
    <n v="2076"/>
    <n v="8304"/>
    <n v="263"/>
    <n v="8"/>
    <s v="Delayed"/>
    <x v="0"/>
    <n v="1660.8000000000002"/>
  </r>
  <r>
    <s v="ORD0114"/>
    <x v="99"/>
    <x v="2"/>
    <s v="Furniture"/>
    <s v="Chair"/>
    <x v="1"/>
    <n v="7"/>
    <n v="4657"/>
    <n v="32599"/>
    <n v="201"/>
    <n v="9"/>
    <s v="Delayed"/>
    <x v="0"/>
    <n v="6519.8"/>
  </r>
  <r>
    <s v="ORD0115"/>
    <x v="100"/>
    <x v="0"/>
    <s v="Apparel"/>
    <s v="Jacket"/>
    <x v="0"/>
    <n v="35"/>
    <n v="1898"/>
    <n v="66430"/>
    <n v="14"/>
    <n v="5"/>
    <s v="On Time"/>
    <x v="1"/>
    <n v="13286"/>
  </r>
  <r>
    <s v="ORD0116"/>
    <x v="101"/>
    <x v="1"/>
    <s v="Electronics"/>
    <s v="Monitor"/>
    <x v="2"/>
    <n v="37"/>
    <n v="2467"/>
    <n v="91279"/>
    <n v="11"/>
    <n v="3"/>
    <s v="On Time"/>
    <x v="1"/>
    <n v="18255.8"/>
  </r>
  <r>
    <s v="ORD0117"/>
    <x v="102"/>
    <x v="1"/>
    <s v="Electronics"/>
    <s v="Mouse"/>
    <x v="0"/>
    <n v="32"/>
    <n v="1014"/>
    <n v="32448"/>
    <n v="199"/>
    <n v="8"/>
    <s v="Delayed"/>
    <x v="0"/>
    <n v="6489.6"/>
  </r>
  <r>
    <s v="ORD0118"/>
    <x v="44"/>
    <x v="0"/>
    <s v="Apparel"/>
    <s v="T-Shirt"/>
    <x v="0"/>
    <n v="38"/>
    <n v="2583"/>
    <n v="98154"/>
    <n v="139"/>
    <n v="8"/>
    <s v="Delayed"/>
    <x v="0"/>
    <n v="19630.8"/>
  </r>
  <r>
    <s v="ORD0119"/>
    <x v="47"/>
    <x v="0"/>
    <s v="Electronics"/>
    <s v="Mouse"/>
    <x v="1"/>
    <n v="4"/>
    <n v="4640"/>
    <n v="18560"/>
    <n v="128"/>
    <n v="8"/>
    <s v="Delayed"/>
    <x v="0"/>
    <n v="3712"/>
  </r>
  <r>
    <s v="ORD0120"/>
    <x v="103"/>
    <x v="1"/>
    <s v="Furniture"/>
    <s v="Chair"/>
    <x v="1"/>
    <n v="50"/>
    <n v="1220"/>
    <n v="61000"/>
    <n v="54"/>
    <n v="4"/>
    <s v="On Time"/>
    <x v="0"/>
    <n v="12200"/>
  </r>
  <r>
    <s v="ORD0121"/>
    <x v="104"/>
    <x v="1"/>
    <s v="Furniture"/>
    <s v="Chair"/>
    <x v="1"/>
    <n v="6"/>
    <n v="804"/>
    <n v="4824"/>
    <n v="30"/>
    <n v="2"/>
    <s v="On Time"/>
    <x v="1"/>
    <n v="964.80000000000007"/>
  </r>
  <r>
    <s v="ORD0122"/>
    <x v="96"/>
    <x v="0"/>
    <s v="Apparel"/>
    <s v="T-Shirt"/>
    <x v="0"/>
    <n v="4"/>
    <n v="1831"/>
    <n v="7324"/>
    <n v="276"/>
    <n v="2"/>
    <s v="On Time"/>
    <x v="0"/>
    <n v="1464.8000000000002"/>
  </r>
  <r>
    <s v="ORD0123"/>
    <x v="11"/>
    <x v="0"/>
    <s v="Electronics"/>
    <s v="Keyboard"/>
    <x v="0"/>
    <n v="22"/>
    <n v="2825"/>
    <n v="62150"/>
    <n v="253"/>
    <n v="7"/>
    <s v="Delayed"/>
    <x v="0"/>
    <n v="12430"/>
  </r>
  <r>
    <s v="ORD0124"/>
    <x v="105"/>
    <x v="3"/>
    <s v="Office Supplies"/>
    <s v="File Folder"/>
    <x v="0"/>
    <n v="46"/>
    <n v="1768"/>
    <n v="81328"/>
    <n v="256"/>
    <n v="5"/>
    <s v="On Time"/>
    <x v="0"/>
    <n v="16265.6"/>
  </r>
  <r>
    <s v="ORD0125"/>
    <x v="77"/>
    <x v="0"/>
    <s v="Furniture"/>
    <s v="Chair"/>
    <x v="0"/>
    <n v="13"/>
    <n v="3145"/>
    <n v="40885"/>
    <n v="80"/>
    <n v="5"/>
    <s v="On Time"/>
    <x v="0"/>
    <n v="8177"/>
  </r>
  <r>
    <s v="ORD0126"/>
    <x v="106"/>
    <x v="2"/>
    <s v="Electronics"/>
    <s v="Keyboard"/>
    <x v="2"/>
    <n v="13"/>
    <n v="3355"/>
    <n v="43615"/>
    <n v="166"/>
    <n v="9"/>
    <s v="Delayed"/>
    <x v="0"/>
    <n v="8723"/>
  </r>
  <r>
    <s v="ORD0127"/>
    <x v="19"/>
    <x v="0"/>
    <s v="Furniture"/>
    <s v="Table"/>
    <x v="1"/>
    <n v="23"/>
    <n v="3877"/>
    <n v="89171"/>
    <n v="29"/>
    <n v="3"/>
    <s v="On Time"/>
    <x v="1"/>
    <n v="17834.2"/>
  </r>
  <r>
    <s v="ORD0128"/>
    <x v="107"/>
    <x v="3"/>
    <s v="Electronics"/>
    <s v="Mouse"/>
    <x v="3"/>
    <n v="17"/>
    <n v="4493"/>
    <n v="76381"/>
    <n v="213"/>
    <n v="7"/>
    <s v="Delayed"/>
    <x v="0"/>
    <n v="15276.2"/>
  </r>
  <r>
    <s v="ORD0129"/>
    <x v="108"/>
    <x v="0"/>
    <s v="Electronics"/>
    <s v="Monitor"/>
    <x v="0"/>
    <n v="30"/>
    <n v="1883"/>
    <n v="56490"/>
    <n v="250"/>
    <n v="5"/>
    <s v="On Time"/>
    <x v="0"/>
    <n v="11298"/>
  </r>
  <r>
    <s v="ORD0130"/>
    <x v="109"/>
    <x v="3"/>
    <s v="Apparel"/>
    <s v="Cap"/>
    <x v="2"/>
    <n v="40"/>
    <n v="4718"/>
    <n v="188720"/>
    <n v="74"/>
    <n v="3"/>
    <s v="On Time"/>
    <x v="0"/>
    <n v="37744"/>
  </r>
  <r>
    <s v="ORD0131"/>
    <x v="7"/>
    <x v="0"/>
    <s v="Apparel"/>
    <s v="T-Shirt"/>
    <x v="0"/>
    <n v="41"/>
    <n v="2406"/>
    <n v="98646"/>
    <n v="94"/>
    <n v="8"/>
    <s v="Delayed"/>
    <x v="0"/>
    <n v="19729.2"/>
  </r>
  <r>
    <s v="ORD0132"/>
    <x v="35"/>
    <x v="2"/>
    <s v="Furniture"/>
    <s v="Cabinet"/>
    <x v="1"/>
    <n v="11"/>
    <n v="4479"/>
    <n v="49269"/>
    <n v="276"/>
    <n v="4"/>
    <s v="On Time"/>
    <x v="0"/>
    <n v="9853.8000000000011"/>
  </r>
  <r>
    <s v="ORD0133"/>
    <x v="5"/>
    <x v="1"/>
    <s v="Office Supplies"/>
    <s v="Printer Paper"/>
    <x v="0"/>
    <n v="1"/>
    <n v="4110"/>
    <n v="4110"/>
    <n v="265"/>
    <n v="10"/>
    <s v="Delayed"/>
    <x v="0"/>
    <n v="822"/>
  </r>
  <r>
    <s v="ORD0134"/>
    <x v="110"/>
    <x v="1"/>
    <s v="Electronics"/>
    <s v="Mouse"/>
    <x v="1"/>
    <n v="15"/>
    <n v="4051"/>
    <n v="60765"/>
    <n v="171"/>
    <n v="2"/>
    <s v="On Time"/>
    <x v="0"/>
    <n v="12153"/>
  </r>
  <r>
    <s v="ORD0135"/>
    <x v="111"/>
    <x v="2"/>
    <s v="Apparel"/>
    <s v="Hoodie"/>
    <x v="1"/>
    <n v="25"/>
    <n v="2831"/>
    <n v="70775"/>
    <n v="117"/>
    <n v="3"/>
    <s v="On Time"/>
    <x v="0"/>
    <n v="14155"/>
  </r>
  <r>
    <s v="ORD0136"/>
    <x v="112"/>
    <x v="0"/>
    <s v="Electronics"/>
    <s v="Keyboard"/>
    <x v="2"/>
    <n v="18"/>
    <n v="3877"/>
    <n v="69786"/>
    <n v="158"/>
    <n v="8"/>
    <s v="Delayed"/>
    <x v="0"/>
    <n v="13957.2"/>
  </r>
  <r>
    <s v="ORD0137"/>
    <x v="113"/>
    <x v="3"/>
    <s v="Apparel"/>
    <s v="Hoodie"/>
    <x v="1"/>
    <n v="17"/>
    <n v="4119"/>
    <n v="70023"/>
    <n v="144"/>
    <n v="2"/>
    <s v="On Time"/>
    <x v="0"/>
    <n v="14004.6"/>
  </r>
  <r>
    <s v="ORD0138"/>
    <x v="114"/>
    <x v="1"/>
    <s v="Electronics"/>
    <s v="Monitor"/>
    <x v="0"/>
    <n v="38"/>
    <n v="2150"/>
    <n v="81700"/>
    <n v="131"/>
    <n v="7"/>
    <s v="Delayed"/>
    <x v="0"/>
    <n v="16340"/>
  </r>
  <r>
    <s v="ORD0139"/>
    <x v="30"/>
    <x v="2"/>
    <s v="Office Supplies"/>
    <s v="Marker"/>
    <x v="2"/>
    <n v="47"/>
    <n v="3033"/>
    <n v="142551"/>
    <n v="168"/>
    <n v="8"/>
    <s v="Delayed"/>
    <x v="0"/>
    <n v="28510.2"/>
  </r>
  <r>
    <s v="ORD0140"/>
    <x v="115"/>
    <x v="1"/>
    <s v="Apparel"/>
    <s v="T-Shirt"/>
    <x v="3"/>
    <n v="21"/>
    <n v="2412"/>
    <n v="50652"/>
    <n v="124"/>
    <n v="6"/>
    <s v="Delayed"/>
    <x v="0"/>
    <n v="10130.400000000001"/>
  </r>
  <r>
    <s v="ORD0141"/>
    <x v="4"/>
    <x v="0"/>
    <s v="Furniture"/>
    <s v="Desk"/>
    <x v="0"/>
    <n v="40"/>
    <n v="1468"/>
    <n v="58720"/>
    <n v="55"/>
    <n v="4"/>
    <s v="On Time"/>
    <x v="0"/>
    <n v="11744"/>
  </r>
  <r>
    <s v="ORD0142"/>
    <x v="99"/>
    <x v="0"/>
    <s v="Electronics"/>
    <s v="Laptop"/>
    <x v="0"/>
    <n v="45"/>
    <n v="4685"/>
    <n v="210825"/>
    <n v="74"/>
    <n v="4"/>
    <s v="On Time"/>
    <x v="0"/>
    <n v="42165"/>
  </r>
  <r>
    <s v="ORD0143"/>
    <x v="44"/>
    <x v="1"/>
    <s v="Electronics"/>
    <s v="Keyboard"/>
    <x v="2"/>
    <n v="39"/>
    <n v="1889"/>
    <n v="73671"/>
    <n v="252"/>
    <n v="3"/>
    <s v="On Time"/>
    <x v="0"/>
    <n v="14734.2"/>
  </r>
  <r>
    <s v="ORD0144"/>
    <x v="116"/>
    <x v="1"/>
    <s v="Furniture"/>
    <s v="Desk"/>
    <x v="0"/>
    <n v="24"/>
    <n v="1134"/>
    <n v="27216"/>
    <n v="71"/>
    <n v="3"/>
    <s v="On Time"/>
    <x v="0"/>
    <n v="5443.2000000000007"/>
  </r>
  <r>
    <s v="ORD0145"/>
    <x v="117"/>
    <x v="3"/>
    <s v="Furniture"/>
    <s v="Cabinet"/>
    <x v="0"/>
    <n v="29"/>
    <n v="3948"/>
    <n v="114492"/>
    <n v="275"/>
    <n v="8"/>
    <s v="Delayed"/>
    <x v="0"/>
    <n v="22898.400000000001"/>
  </r>
  <r>
    <s v="ORD0146"/>
    <x v="72"/>
    <x v="1"/>
    <s v="Apparel"/>
    <s v="Jacket"/>
    <x v="1"/>
    <n v="39"/>
    <n v="1774"/>
    <n v="69186"/>
    <n v="216"/>
    <n v="3"/>
    <s v="On Time"/>
    <x v="0"/>
    <n v="13837.2"/>
  </r>
  <r>
    <s v="ORD0147"/>
    <x v="118"/>
    <x v="0"/>
    <s v="Office Supplies"/>
    <s v="Marker"/>
    <x v="1"/>
    <n v="4"/>
    <n v="4851"/>
    <n v="19404"/>
    <n v="174"/>
    <n v="5"/>
    <s v="On Time"/>
    <x v="0"/>
    <n v="3880.8"/>
  </r>
  <r>
    <s v="ORD0148"/>
    <x v="119"/>
    <x v="2"/>
    <s v="Apparel"/>
    <s v="T-Shirt"/>
    <x v="2"/>
    <n v="1"/>
    <n v="3020"/>
    <n v="3020"/>
    <n v="103"/>
    <n v="3"/>
    <s v="On Time"/>
    <x v="0"/>
    <n v="604"/>
  </r>
  <r>
    <s v="ORD0149"/>
    <x v="120"/>
    <x v="0"/>
    <s v="Electronics"/>
    <s v="Laptop"/>
    <x v="0"/>
    <n v="37"/>
    <n v="2769"/>
    <n v="102453"/>
    <n v="202"/>
    <n v="9"/>
    <s v="Delayed"/>
    <x v="0"/>
    <n v="20490.600000000002"/>
  </r>
  <r>
    <s v="ORD0150"/>
    <x v="121"/>
    <x v="2"/>
    <s v="Apparel"/>
    <s v="T-Shirt"/>
    <x v="0"/>
    <n v="16"/>
    <n v="4032"/>
    <n v="64512"/>
    <n v="113"/>
    <n v="2"/>
    <s v="On Time"/>
    <x v="0"/>
    <n v="12902.400000000001"/>
  </r>
  <r>
    <s v="ORD0151"/>
    <x v="122"/>
    <x v="2"/>
    <s v="Office Supplies"/>
    <s v="Marker"/>
    <x v="2"/>
    <n v="16"/>
    <n v="4025"/>
    <n v="64400"/>
    <n v="172"/>
    <n v="8"/>
    <s v="Delayed"/>
    <x v="0"/>
    <n v="12880"/>
  </r>
  <r>
    <s v="ORD0152"/>
    <x v="123"/>
    <x v="3"/>
    <s v="Electronics"/>
    <s v="Monitor"/>
    <x v="3"/>
    <n v="16"/>
    <n v="1365"/>
    <n v="21840"/>
    <n v="228"/>
    <n v="8"/>
    <s v="Delayed"/>
    <x v="0"/>
    <n v="4368"/>
  </r>
  <r>
    <s v="ORD0153"/>
    <x v="10"/>
    <x v="2"/>
    <s v="Office Supplies"/>
    <s v="Marker"/>
    <x v="1"/>
    <n v="15"/>
    <n v="929"/>
    <n v="13935"/>
    <n v="28"/>
    <n v="2"/>
    <s v="On Time"/>
    <x v="1"/>
    <n v="2787"/>
  </r>
  <r>
    <s v="ORD0154"/>
    <x v="88"/>
    <x v="1"/>
    <s v="Office Supplies"/>
    <s v="Notebook"/>
    <x v="3"/>
    <n v="42"/>
    <n v="3918"/>
    <n v="164556"/>
    <n v="248"/>
    <n v="7"/>
    <s v="Delayed"/>
    <x v="0"/>
    <n v="32911.200000000004"/>
  </r>
  <r>
    <s v="ORD0155"/>
    <x v="124"/>
    <x v="2"/>
    <s v="Electronics"/>
    <s v="Keyboard"/>
    <x v="2"/>
    <n v="4"/>
    <n v="1957"/>
    <n v="7828"/>
    <n v="290"/>
    <n v="4"/>
    <s v="On Time"/>
    <x v="0"/>
    <n v="1565.6000000000001"/>
  </r>
  <r>
    <s v="ORD0156"/>
    <x v="125"/>
    <x v="1"/>
    <s v="Apparel"/>
    <s v="Jacket"/>
    <x v="2"/>
    <n v="19"/>
    <n v="1908"/>
    <n v="36252"/>
    <n v="220"/>
    <n v="2"/>
    <s v="On Time"/>
    <x v="0"/>
    <n v="7250.4000000000005"/>
  </r>
  <r>
    <s v="ORD0157"/>
    <x v="96"/>
    <x v="2"/>
    <s v="Furniture"/>
    <s v="Table"/>
    <x v="0"/>
    <n v="46"/>
    <n v="1156"/>
    <n v="53176"/>
    <n v="32"/>
    <n v="9"/>
    <s v="Delayed"/>
    <x v="1"/>
    <n v="10635.2"/>
  </r>
  <r>
    <s v="ORD0158"/>
    <x v="126"/>
    <x v="1"/>
    <s v="Office Supplies"/>
    <s v="Printer Paper"/>
    <x v="2"/>
    <n v="9"/>
    <n v="4890"/>
    <n v="44010"/>
    <n v="81"/>
    <n v="6"/>
    <s v="Delayed"/>
    <x v="0"/>
    <n v="8802"/>
  </r>
  <r>
    <s v="ORD0159"/>
    <x v="127"/>
    <x v="2"/>
    <s v="Apparel"/>
    <s v="Hoodie"/>
    <x v="0"/>
    <n v="4"/>
    <n v="3351"/>
    <n v="13404"/>
    <n v="220"/>
    <n v="7"/>
    <s v="Delayed"/>
    <x v="0"/>
    <n v="2680.8"/>
  </r>
  <r>
    <s v="ORD0160"/>
    <x v="5"/>
    <x v="0"/>
    <s v="Office Supplies"/>
    <s v="Notebook"/>
    <x v="3"/>
    <n v="25"/>
    <n v="821"/>
    <n v="20525"/>
    <n v="81"/>
    <n v="4"/>
    <s v="On Time"/>
    <x v="0"/>
    <n v="4105"/>
  </r>
  <r>
    <s v="ORD0161"/>
    <x v="128"/>
    <x v="1"/>
    <s v="Electronics"/>
    <s v="Keyboard"/>
    <x v="2"/>
    <n v="37"/>
    <n v="2878"/>
    <n v="106486"/>
    <n v="129"/>
    <n v="6"/>
    <s v="Delayed"/>
    <x v="0"/>
    <n v="21297.200000000001"/>
  </r>
  <r>
    <s v="ORD0162"/>
    <x v="129"/>
    <x v="2"/>
    <s v="Office Supplies"/>
    <s v="Marker"/>
    <x v="3"/>
    <n v="34"/>
    <n v="2615"/>
    <n v="88910"/>
    <n v="233"/>
    <n v="6"/>
    <s v="Delayed"/>
    <x v="0"/>
    <n v="17782"/>
  </r>
  <r>
    <s v="ORD0163"/>
    <x v="43"/>
    <x v="1"/>
    <s v="Apparel"/>
    <s v="Hoodie"/>
    <x v="0"/>
    <n v="33"/>
    <n v="829"/>
    <n v="27357"/>
    <n v="168"/>
    <n v="5"/>
    <s v="On Time"/>
    <x v="0"/>
    <n v="5471.4000000000005"/>
  </r>
  <r>
    <s v="ORD0164"/>
    <x v="114"/>
    <x v="0"/>
    <s v="Electronics"/>
    <s v="Laptop"/>
    <x v="0"/>
    <n v="18"/>
    <n v="1152"/>
    <n v="20736"/>
    <n v="163"/>
    <n v="4"/>
    <s v="On Time"/>
    <x v="0"/>
    <n v="4147.2"/>
  </r>
  <r>
    <s v="ORD0165"/>
    <x v="130"/>
    <x v="0"/>
    <s v="Apparel"/>
    <s v="Cap"/>
    <x v="2"/>
    <n v="39"/>
    <n v="2231"/>
    <n v="87009"/>
    <n v="125"/>
    <n v="4"/>
    <s v="On Time"/>
    <x v="0"/>
    <n v="17401.8"/>
  </r>
  <r>
    <s v="ORD0166"/>
    <x v="21"/>
    <x v="3"/>
    <s v="Office Supplies"/>
    <s v="Printer Paper"/>
    <x v="0"/>
    <n v="44"/>
    <n v="4716"/>
    <n v="207504"/>
    <n v="25"/>
    <n v="2"/>
    <s v="On Time"/>
    <x v="1"/>
    <n v="41500.800000000003"/>
  </r>
  <r>
    <s v="ORD0167"/>
    <x v="118"/>
    <x v="2"/>
    <s v="Office Supplies"/>
    <s v="Notebook"/>
    <x v="3"/>
    <n v="48"/>
    <n v="1699"/>
    <n v="81552"/>
    <n v="293"/>
    <n v="5"/>
    <s v="On Time"/>
    <x v="0"/>
    <n v="16310.400000000001"/>
  </r>
  <r>
    <s v="ORD0168"/>
    <x v="80"/>
    <x v="0"/>
    <s v="Office Supplies"/>
    <s v="Printer Paper"/>
    <x v="2"/>
    <n v="14"/>
    <n v="828"/>
    <n v="11592"/>
    <n v="208"/>
    <n v="6"/>
    <s v="Delayed"/>
    <x v="0"/>
    <n v="2318.4"/>
  </r>
  <r>
    <s v="ORD0169"/>
    <x v="131"/>
    <x v="1"/>
    <s v="Office Supplies"/>
    <s v="Printer Paper"/>
    <x v="2"/>
    <n v="46"/>
    <n v="567"/>
    <n v="26082"/>
    <n v="159"/>
    <n v="10"/>
    <s v="Delayed"/>
    <x v="0"/>
    <n v="5216.4000000000005"/>
  </r>
  <r>
    <s v="ORD0170"/>
    <x v="132"/>
    <x v="3"/>
    <s v="Apparel"/>
    <s v="Hoodie"/>
    <x v="3"/>
    <n v="34"/>
    <n v="4979"/>
    <n v="169286"/>
    <n v="93"/>
    <n v="4"/>
    <s v="On Time"/>
    <x v="0"/>
    <n v="33857.200000000004"/>
  </r>
  <r>
    <s v="ORD0171"/>
    <x v="133"/>
    <x v="3"/>
    <s v="Electronics"/>
    <s v="Monitor"/>
    <x v="3"/>
    <n v="27"/>
    <n v="4402"/>
    <n v="118854"/>
    <n v="250"/>
    <n v="10"/>
    <s v="Delayed"/>
    <x v="0"/>
    <n v="23770.800000000003"/>
  </r>
  <r>
    <s v="ORD0172"/>
    <x v="51"/>
    <x v="2"/>
    <s v="Office Supplies"/>
    <s v="Marker"/>
    <x v="0"/>
    <n v="23"/>
    <n v="2417"/>
    <n v="55591"/>
    <n v="81"/>
    <n v="7"/>
    <s v="Delayed"/>
    <x v="0"/>
    <n v="11118.2"/>
  </r>
  <r>
    <s v="ORD0173"/>
    <x v="134"/>
    <x v="0"/>
    <s v="Furniture"/>
    <s v="Chair"/>
    <x v="0"/>
    <n v="5"/>
    <n v="2163"/>
    <n v="10815"/>
    <n v="25"/>
    <n v="8"/>
    <s v="Delayed"/>
    <x v="1"/>
    <n v="2163"/>
  </r>
  <r>
    <s v="ORD0174"/>
    <x v="135"/>
    <x v="3"/>
    <s v="Electronics"/>
    <s v="Laptop"/>
    <x v="3"/>
    <n v="21"/>
    <n v="2725"/>
    <n v="57225"/>
    <n v="237"/>
    <n v="7"/>
    <s v="Delayed"/>
    <x v="0"/>
    <n v="11445"/>
  </r>
  <r>
    <s v="ORD0175"/>
    <x v="13"/>
    <x v="3"/>
    <s v="Apparel"/>
    <s v="Jacket"/>
    <x v="0"/>
    <n v="25"/>
    <n v="3617"/>
    <n v="90425"/>
    <n v="75"/>
    <n v="10"/>
    <s v="Delayed"/>
    <x v="0"/>
    <n v="18085"/>
  </r>
  <r>
    <s v="ORD0176"/>
    <x v="136"/>
    <x v="1"/>
    <s v="Electronics"/>
    <s v="Keyboard"/>
    <x v="1"/>
    <n v="6"/>
    <n v="1095"/>
    <n v="6570"/>
    <n v="136"/>
    <n v="10"/>
    <s v="Delayed"/>
    <x v="0"/>
    <n v="1314"/>
  </r>
  <r>
    <s v="ORD0177"/>
    <x v="137"/>
    <x v="1"/>
    <s v="Furniture"/>
    <s v="Cabinet"/>
    <x v="1"/>
    <n v="20"/>
    <n v="961"/>
    <n v="19220"/>
    <n v="165"/>
    <n v="8"/>
    <s v="Delayed"/>
    <x v="0"/>
    <n v="3844"/>
  </r>
  <r>
    <s v="ORD0178"/>
    <x v="126"/>
    <x v="3"/>
    <s v="Apparel"/>
    <s v="Hoodie"/>
    <x v="2"/>
    <n v="42"/>
    <n v="4720"/>
    <n v="198240"/>
    <n v="293"/>
    <n v="9"/>
    <s v="Delayed"/>
    <x v="0"/>
    <n v="39648"/>
  </r>
  <r>
    <s v="ORD0179"/>
    <x v="11"/>
    <x v="2"/>
    <s v="Office Supplies"/>
    <s v="Marker"/>
    <x v="0"/>
    <n v="35"/>
    <n v="3787"/>
    <n v="132545"/>
    <n v="37"/>
    <n v="3"/>
    <s v="On Time"/>
    <x v="1"/>
    <n v="26509"/>
  </r>
  <r>
    <s v="ORD0180"/>
    <x v="138"/>
    <x v="3"/>
    <s v="Apparel"/>
    <s v="Hoodie"/>
    <x v="3"/>
    <n v="49"/>
    <n v="3253"/>
    <n v="159397"/>
    <n v="115"/>
    <n v="8"/>
    <s v="Delayed"/>
    <x v="0"/>
    <n v="31879.4"/>
  </r>
  <r>
    <s v="ORD0181"/>
    <x v="139"/>
    <x v="2"/>
    <s v="Electronics"/>
    <s v="Monitor"/>
    <x v="2"/>
    <n v="30"/>
    <n v="1105"/>
    <n v="33150"/>
    <n v="124"/>
    <n v="8"/>
    <s v="Delayed"/>
    <x v="0"/>
    <n v="6630"/>
  </r>
  <r>
    <s v="ORD0182"/>
    <x v="106"/>
    <x v="2"/>
    <s v="Furniture"/>
    <s v="Chair"/>
    <x v="0"/>
    <n v="42"/>
    <n v="1484"/>
    <n v="62328"/>
    <n v="32"/>
    <n v="7"/>
    <s v="Delayed"/>
    <x v="1"/>
    <n v="12465.6"/>
  </r>
  <r>
    <s v="ORD0183"/>
    <x v="25"/>
    <x v="1"/>
    <s v="Office Supplies"/>
    <s v="Notebook"/>
    <x v="0"/>
    <n v="41"/>
    <n v="979"/>
    <n v="40139"/>
    <n v="280"/>
    <n v="6"/>
    <s v="Delayed"/>
    <x v="0"/>
    <n v="8027.8"/>
  </r>
  <r>
    <s v="ORD0184"/>
    <x v="140"/>
    <x v="0"/>
    <s v="Electronics"/>
    <s v="Laptop"/>
    <x v="3"/>
    <n v="46"/>
    <n v="4483"/>
    <n v="206218"/>
    <n v="125"/>
    <n v="9"/>
    <s v="Delayed"/>
    <x v="0"/>
    <n v="41243.600000000006"/>
  </r>
  <r>
    <s v="ORD0185"/>
    <x v="141"/>
    <x v="1"/>
    <s v="Furniture"/>
    <s v="Table"/>
    <x v="2"/>
    <n v="1"/>
    <n v="4429"/>
    <n v="4429"/>
    <n v="235"/>
    <n v="10"/>
    <s v="Delayed"/>
    <x v="0"/>
    <n v="885.80000000000007"/>
  </r>
  <r>
    <s v="ORD0186"/>
    <x v="30"/>
    <x v="2"/>
    <s v="Furniture"/>
    <s v="Cabinet"/>
    <x v="2"/>
    <n v="6"/>
    <n v="2346"/>
    <n v="14076"/>
    <n v="271"/>
    <n v="9"/>
    <s v="Delayed"/>
    <x v="0"/>
    <n v="2815.2000000000003"/>
  </r>
  <r>
    <s v="ORD0187"/>
    <x v="142"/>
    <x v="3"/>
    <s v="Electronics"/>
    <s v="Mouse"/>
    <x v="1"/>
    <n v="6"/>
    <n v="2426"/>
    <n v="14556"/>
    <n v="128"/>
    <n v="6"/>
    <s v="Delayed"/>
    <x v="0"/>
    <n v="2911.2000000000003"/>
  </r>
  <r>
    <s v="ORD0188"/>
    <x v="82"/>
    <x v="0"/>
    <s v="Apparel"/>
    <s v="Hoodie"/>
    <x v="0"/>
    <n v="44"/>
    <n v="1400"/>
    <n v="61600"/>
    <n v="130"/>
    <n v="8"/>
    <s v="Delayed"/>
    <x v="0"/>
    <n v="12320"/>
  </r>
  <r>
    <s v="ORD0189"/>
    <x v="143"/>
    <x v="2"/>
    <s v="Office Supplies"/>
    <s v="Printer Paper"/>
    <x v="3"/>
    <n v="16"/>
    <n v="2845"/>
    <n v="45520"/>
    <n v="138"/>
    <n v="6"/>
    <s v="Delayed"/>
    <x v="0"/>
    <n v="9104"/>
  </r>
  <r>
    <s v="ORD0190"/>
    <x v="144"/>
    <x v="0"/>
    <s v="Office Supplies"/>
    <s v="Marker"/>
    <x v="2"/>
    <n v="17"/>
    <n v="1258"/>
    <n v="21386"/>
    <n v="71"/>
    <n v="5"/>
    <s v="On Time"/>
    <x v="0"/>
    <n v="4277.2"/>
  </r>
  <r>
    <s v="ORD0191"/>
    <x v="56"/>
    <x v="2"/>
    <s v="Electronics"/>
    <s v="Monitor"/>
    <x v="0"/>
    <n v="36"/>
    <n v="3142"/>
    <n v="113112"/>
    <n v="70"/>
    <n v="7"/>
    <s v="Delayed"/>
    <x v="0"/>
    <n v="22622.400000000001"/>
  </r>
  <r>
    <s v="ORD0192"/>
    <x v="145"/>
    <x v="1"/>
    <s v="Electronics"/>
    <s v="Monitor"/>
    <x v="3"/>
    <n v="22"/>
    <n v="2034"/>
    <n v="44748"/>
    <n v="14"/>
    <n v="4"/>
    <s v="On Time"/>
    <x v="1"/>
    <n v="8949.6"/>
  </r>
  <r>
    <s v="ORD0193"/>
    <x v="146"/>
    <x v="0"/>
    <s v="Electronics"/>
    <s v="Laptop"/>
    <x v="0"/>
    <n v="41"/>
    <n v="871"/>
    <n v="35711"/>
    <n v="221"/>
    <n v="3"/>
    <s v="On Time"/>
    <x v="0"/>
    <n v="7142.2000000000007"/>
  </r>
  <r>
    <s v="ORD0194"/>
    <x v="139"/>
    <x v="0"/>
    <s v="Furniture"/>
    <s v="Desk"/>
    <x v="3"/>
    <n v="3"/>
    <n v="3022"/>
    <n v="9066"/>
    <n v="119"/>
    <n v="8"/>
    <s v="Delayed"/>
    <x v="0"/>
    <n v="1813.2"/>
  </r>
  <r>
    <s v="ORD0195"/>
    <x v="108"/>
    <x v="1"/>
    <s v="Electronics"/>
    <s v="Laptop"/>
    <x v="2"/>
    <n v="43"/>
    <n v="3533"/>
    <n v="151919"/>
    <n v="251"/>
    <n v="3"/>
    <s v="On Time"/>
    <x v="0"/>
    <n v="30383.800000000003"/>
  </r>
  <r>
    <s v="ORD0196"/>
    <x v="147"/>
    <x v="2"/>
    <s v="Electronics"/>
    <s v="Monitor"/>
    <x v="2"/>
    <n v="40"/>
    <n v="4135"/>
    <n v="165400"/>
    <n v="184"/>
    <n v="5"/>
    <s v="On Time"/>
    <x v="0"/>
    <n v="33080"/>
  </r>
  <r>
    <s v="ORD0197"/>
    <x v="148"/>
    <x v="2"/>
    <s v="Furniture"/>
    <s v="Table"/>
    <x v="0"/>
    <n v="43"/>
    <n v="668"/>
    <n v="28724"/>
    <n v="94"/>
    <n v="7"/>
    <s v="Delayed"/>
    <x v="0"/>
    <n v="5744.8"/>
  </r>
  <r>
    <s v="ORD0198"/>
    <x v="49"/>
    <x v="3"/>
    <s v="Furniture"/>
    <s v="Chair"/>
    <x v="1"/>
    <n v="20"/>
    <n v="879"/>
    <n v="17580"/>
    <n v="158"/>
    <n v="6"/>
    <s v="Delayed"/>
    <x v="0"/>
    <n v="3516"/>
  </r>
  <r>
    <s v="ORD0199"/>
    <x v="149"/>
    <x v="2"/>
    <s v="Office Supplies"/>
    <s v="Printer Paper"/>
    <x v="3"/>
    <n v="27"/>
    <n v="3468"/>
    <n v="93636"/>
    <n v="11"/>
    <n v="5"/>
    <s v="On Time"/>
    <x v="1"/>
    <n v="18727.2"/>
  </r>
  <r>
    <s v="ORD0200"/>
    <x v="150"/>
    <x v="1"/>
    <s v="Apparel"/>
    <s v="Hoodie"/>
    <x v="0"/>
    <n v="18"/>
    <n v="968"/>
    <n v="17424"/>
    <n v="280"/>
    <n v="10"/>
    <s v="Delayed"/>
    <x v="0"/>
    <n v="3484.8"/>
  </r>
  <r>
    <s v="ORD0201"/>
    <x v="0"/>
    <x v="0"/>
    <s v="Office Supplies"/>
    <s v="File Folder"/>
    <x v="0"/>
    <n v="48"/>
    <n v="2756"/>
    <n v="132288"/>
    <n v="225"/>
    <n v="7"/>
    <s v="Delayed"/>
    <x v="0"/>
    <n v="26457.600000000002"/>
  </r>
  <r>
    <s v="ORD0202"/>
    <x v="151"/>
    <x v="3"/>
    <s v="Apparel"/>
    <s v="Cap"/>
    <x v="2"/>
    <n v="13"/>
    <n v="2719"/>
    <n v="35347"/>
    <n v="199"/>
    <n v="10"/>
    <s v="Delayed"/>
    <x v="0"/>
    <n v="7069.4000000000005"/>
  </r>
  <r>
    <s v="ORD0203"/>
    <x v="152"/>
    <x v="3"/>
    <s v="Furniture"/>
    <s v="Chair"/>
    <x v="1"/>
    <n v="3"/>
    <n v="3114"/>
    <n v="9342"/>
    <n v="157"/>
    <n v="4"/>
    <s v="On Time"/>
    <x v="0"/>
    <n v="1868.4"/>
  </r>
  <r>
    <s v="ORD0204"/>
    <x v="153"/>
    <x v="2"/>
    <s v="Apparel"/>
    <s v="T-Shirt"/>
    <x v="2"/>
    <n v="49"/>
    <n v="1449"/>
    <n v="71001"/>
    <n v="294"/>
    <n v="5"/>
    <s v="On Time"/>
    <x v="0"/>
    <n v="14200.2"/>
  </r>
  <r>
    <s v="ORD0205"/>
    <x v="154"/>
    <x v="2"/>
    <s v="Office Supplies"/>
    <s v="Printer Paper"/>
    <x v="0"/>
    <n v="34"/>
    <n v="4076"/>
    <n v="138584"/>
    <n v="181"/>
    <n v="9"/>
    <s v="Delayed"/>
    <x v="0"/>
    <n v="27716.800000000003"/>
  </r>
  <r>
    <s v="ORD0206"/>
    <x v="155"/>
    <x v="2"/>
    <s v="Electronics"/>
    <s v="Monitor"/>
    <x v="0"/>
    <n v="6"/>
    <n v="4920"/>
    <n v="29520"/>
    <n v="237"/>
    <n v="6"/>
    <s v="Delayed"/>
    <x v="0"/>
    <n v="5904"/>
  </r>
  <r>
    <s v="ORD0207"/>
    <x v="84"/>
    <x v="2"/>
    <s v="Apparel"/>
    <s v="T-Shirt"/>
    <x v="1"/>
    <n v="9"/>
    <n v="2194"/>
    <n v="19746"/>
    <n v="192"/>
    <n v="6"/>
    <s v="Delayed"/>
    <x v="0"/>
    <n v="3949.2000000000003"/>
  </r>
  <r>
    <s v="ORD0208"/>
    <x v="156"/>
    <x v="0"/>
    <s v="Furniture"/>
    <s v="Desk"/>
    <x v="0"/>
    <n v="32"/>
    <n v="2327"/>
    <n v="74464"/>
    <n v="216"/>
    <n v="5"/>
    <s v="On Time"/>
    <x v="0"/>
    <n v="14892.800000000001"/>
  </r>
  <r>
    <s v="ORD0209"/>
    <x v="77"/>
    <x v="1"/>
    <s v="Furniture"/>
    <s v="Cabinet"/>
    <x v="2"/>
    <n v="12"/>
    <n v="2080"/>
    <n v="24960"/>
    <n v="275"/>
    <n v="10"/>
    <s v="Delayed"/>
    <x v="0"/>
    <n v="4992"/>
  </r>
  <r>
    <s v="ORD0210"/>
    <x v="157"/>
    <x v="2"/>
    <s v="Apparel"/>
    <s v="Jacket"/>
    <x v="2"/>
    <n v="22"/>
    <n v="2517"/>
    <n v="55374"/>
    <n v="128"/>
    <n v="7"/>
    <s v="Delayed"/>
    <x v="0"/>
    <n v="11074.800000000001"/>
  </r>
  <r>
    <s v="ORD0211"/>
    <x v="158"/>
    <x v="2"/>
    <s v="Furniture"/>
    <s v="Table"/>
    <x v="2"/>
    <n v="27"/>
    <n v="1937"/>
    <n v="52299"/>
    <n v="123"/>
    <n v="3"/>
    <s v="On Time"/>
    <x v="0"/>
    <n v="10459.800000000001"/>
  </r>
  <r>
    <s v="ORD0212"/>
    <x v="159"/>
    <x v="2"/>
    <s v="Office Supplies"/>
    <s v="Notebook"/>
    <x v="2"/>
    <n v="22"/>
    <n v="2801"/>
    <n v="61622"/>
    <n v="10"/>
    <n v="5"/>
    <s v="On Time"/>
    <x v="1"/>
    <n v="12324.400000000001"/>
  </r>
  <r>
    <s v="ORD0213"/>
    <x v="160"/>
    <x v="1"/>
    <s v="Furniture"/>
    <s v="Chair"/>
    <x v="2"/>
    <n v="28"/>
    <n v="3887"/>
    <n v="108836"/>
    <n v="74"/>
    <n v="2"/>
    <s v="On Time"/>
    <x v="0"/>
    <n v="21767.200000000001"/>
  </r>
  <r>
    <s v="ORD0214"/>
    <x v="77"/>
    <x v="2"/>
    <s v="Furniture"/>
    <s v="Cabinet"/>
    <x v="1"/>
    <n v="17"/>
    <n v="4216"/>
    <n v="71672"/>
    <n v="132"/>
    <n v="7"/>
    <s v="Delayed"/>
    <x v="0"/>
    <n v="14334.400000000001"/>
  </r>
  <r>
    <s v="ORD0215"/>
    <x v="161"/>
    <x v="2"/>
    <s v="Apparel"/>
    <s v="Hoodie"/>
    <x v="1"/>
    <n v="46"/>
    <n v="4352"/>
    <n v="200192"/>
    <n v="191"/>
    <n v="7"/>
    <s v="Delayed"/>
    <x v="0"/>
    <n v="40038.400000000001"/>
  </r>
  <r>
    <s v="ORD0216"/>
    <x v="110"/>
    <x v="3"/>
    <s v="Electronics"/>
    <s v="Laptop"/>
    <x v="0"/>
    <n v="49"/>
    <n v="3231"/>
    <n v="158319"/>
    <n v="117"/>
    <n v="8"/>
    <s v="Delayed"/>
    <x v="0"/>
    <n v="31663.800000000003"/>
  </r>
  <r>
    <s v="ORD0217"/>
    <x v="28"/>
    <x v="3"/>
    <s v="Office Supplies"/>
    <s v="Marker"/>
    <x v="3"/>
    <n v="27"/>
    <n v="2020"/>
    <n v="54540"/>
    <n v="146"/>
    <n v="2"/>
    <s v="On Time"/>
    <x v="0"/>
    <n v="10908"/>
  </r>
  <r>
    <s v="ORD0218"/>
    <x v="76"/>
    <x v="3"/>
    <s v="Furniture"/>
    <s v="Table"/>
    <x v="2"/>
    <n v="2"/>
    <n v="1464"/>
    <n v="2928"/>
    <n v="129"/>
    <n v="2"/>
    <s v="On Time"/>
    <x v="0"/>
    <n v="585.6"/>
  </r>
  <r>
    <s v="ORD0219"/>
    <x v="162"/>
    <x v="3"/>
    <s v="Furniture"/>
    <s v="Cabinet"/>
    <x v="2"/>
    <n v="17"/>
    <n v="1978"/>
    <n v="33626"/>
    <n v="180"/>
    <n v="9"/>
    <s v="Delayed"/>
    <x v="0"/>
    <n v="6725.2000000000007"/>
  </r>
  <r>
    <s v="ORD0220"/>
    <x v="0"/>
    <x v="1"/>
    <s v="Apparel"/>
    <s v="Cap"/>
    <x v="2"/>
    <n v="15"/>
    <n v="4934"/>
    <n v="74010"/>
    <n v="66"/>
    <n v="5"/>
    <s v="On Time"/>
    <x v="0"/>
    <n v="14802"/>
  </r>
  <r>
    <s v="ORD0221"/>
    <x v="163"/>
    <x v="3"/>
    <s v="Furniture"/>
    <s v="Chair"/>
    <x v="1"/>
    <n v="5"/>
    <n v="556"/>
    <n v="2780"/>
    <n v="217"/>
    <n v="9"/>
    <s v="Delayed"/>
    <x v="0"/>
    <n v="556"/>
  </r>
  <r>
    <s v="ORD0222"/>
    <x v="147"/>
    <x v="2"/>
    <s v="Electronics"/>
    <s v="Keyboard"/>
    <x v="0"/>
    <n v="14"/>
    <n v="1108"/>
    <n v="15512"/>
    <n v="225"/>
    <n v="5"/>
    <s v="On Time"/>
    <x v="0"/>
    <n v="3102.4"/>
  </r>
  <r>
    <s v="ORD0223"/>
    <x v="164"/>
    <x v="0"/>
    <s v="Furniture"/>
    <s v="Desk"/>
    <x v="1"/>
    <n v="1"/>
    <n v="3747"/>
    <n v="3747"/>
    <n v="261"/>
    <n v="7"/>
    <s v="Delayed"/>
    <x v="0"/>
    <n v="749.40000000000009"/>
  </r>
  <r>
    <s v="ORD0224"/>
    <x v="122"/>
    <x v="3"/>
    <s v="Furniture"/>
    <s v="Cabinet"/>
    <x v="0"/>
    <n v="11"/>
    <n v="4063"/>
    <n v="44693"/>
    <n v="293"/>
    <n v="9"/>
    <s v="Delayed"/>
    <x v="0"/>
    <n v="8938.6"/>
  </r>
  <r>
    <s v="ORD0225"/>
    <x v="165"/>
    <x v="3"/>
    <s v="Electronics"/>
    <s v="Keyboard"/>
    <x v="2"/>
    <n v="4"/>
    <n v="780"/>
    <n v="3120"/>
    <n v="96"/>
    <n v="8"/>
    <s v="Delayed"/>
    <x v="0"/>
    <n v="624"/>
  </r>
  <r>
    <s v="ORD0226"/>
    <x v="116"/>
    <x v="1"/>
    <s v="Furniture"/>
    <s v="Table"/>
    <x v="1"/>
    <n v="31"/>
    <n v="1873"/>
    <n v="58063"/>
    <n v="14"/>
    <n v="6"/>
    <s v="Delayed"/>
    <x v="1"/>
    <n v="11612.6"/>
  </r>
  <r>
    <s v="ORD0227"/>
    <x v="166"/>
    <x v="2"/>
    <s v="Electronics"/>
    <s v="Keyboard"/>
    <x v="0"/>
    <n v="47"/>
    <n v="3820"/>
    <n v="179540"/>
    <n v="191"/>
    <n v="8"/>
    <s v="Delayed"/>
    <x v="0"/>
    <n v="35908"/>
  </r>
  <r>
    <s v="ORD0228"/>
    <x v="167"/>
    <x v="2"/>
    <s v="Apparel"/>
    <s v="T-Shirt"/>
    <x v="3"/>
    <n v="47"/>
    <n v="4730"/>
    <n v="222310"/>
    <n v="251"/>
    <n v="5"/>
    <s v="On Time"/>
    <x v="0"/>
    <n v="44462"/>
  </r>
  <r>
    <s v="ORD0229"/>
    <x v="168"/>
    <x v="3"/>
    <s v="Furniture"/>
    <s v="Chair"/>
    <x v="1"/>
    <n v="49"/>
    <n v="4291"/>
    <n v="210259"/>
    <n v="197"/>
    <n v="4"/>
    <s v="On Time"/>
    <x v="0"/>
    <n v="42051.8"/>
  </r>
  <r>
    <s v="ORD0230"/>
    <x v="44"/>
    <x v="3"/>
    <s v="Apparel"/>
    <s v="Jacket"/>
    <x v="3"/>
    <n v="18"/>
    <n v="1487"/>
    <n v="26766"/>
    <n v="56"/>
    <n v="2"/>
    <s v="On Time"/>
    <x v="0"/>
    <n v="5353.2000000000007"/>
  </r>
  <r>
    <s v="ORD0231"/>
    <x v="169"/>
    <x v="2"/>
    <s v="Apparel"/>
    <s v="Cap"/>
    <x v="0"/>
    <n v="25"/>
    <n v="2109"/>
    <n v="52725"/>
    <n v="12"/>
    <n v="3"/>
    <s v="On Time"/>
    <x v="1"/>
    <n v="10545"/>
  </r>
  <r>
    <s v="ORD0232"/>
    <x v="124"/>
    <x v="0"/>
    <s v="Electronics"/>
    <s v="Mouse"/>
    <x v="2"/>
    <n v="11"/>
    <n v="4094"/>
    <n v="45034"/>
    <n v="91"/>
    <n v="2"/>
    <s v="On Time"/>
    <x v="0"/>
    <n v="9006.8000000000011"/>
  </r>
  <r>
    <s v="ORD0233"/>
    <x v="95"/>
    <x v="1"/>
    <s v="Furniture"/>
    <s v="Table"/>
    <x v="1"/>
    <n v="24"/>
    <n v="4405"/>
    <n v="105720"/>
    <n v="165"/>
    <n v="7"/>
    <s v="Delayed"/>
    <x v="0"/>
    <n v="21144"/>
  </r>
  <r>
    <s v="ORD0234"/>
    <x v="3"/>
    <x v="2"/>
    <s v="Furniture"/>
    <s v="Cabinet"/>
    <x v="0"/>
    <n v="37"/>
    <n v="1678"/>
    <n v="62086"/>
    <n v="97"/>
    <n v="10"/>
    <s v="Delayed"/>
    <x v="0"/>
    <n v="12417.2"/>
  </r>
  <r>
    <s v="ORD0235"/>
    <x v="170"/>
    <x v="0"/>
    <s v="Office Supplies"/>
    <s v="Marker"/>
    <x v="3"/>
    <n v="21"/>
    <n v="4688"/>
    <n v="98448"/>
    <n v="226"/>
    <n v="9"/>
    <s v="Delayed"/>
    <x v="0"/>
    <n v="19689.600000000002"/>
  </r>
  <r>
    <s v="ORD0236"/>
    <x v="44"/>
    <x v="2"/>
    <s v="Apparel"/>
    <s v="Jacket"/>
    <x v="0"/>
    <n v="34"/>
    <n v="1146"/>
    <n v="38964"/>
    <n v="234"/>
    <n v="8"/>
    <s v="Delayed"/>
    <x v="0"/>
    <n v="7792.8"/>
  </r>
  <r>
    <s v="ORD0237"/>
    <x v="171"/>
    <x v="0"/>
    <s v="Electronics"/>
    <s v="Mouse"/>
    <x v="1"/>
    <n v="38"/>
    <n v="1976"/>
    <n v="75088"/>
    <n v="162"/>
    <n v="4"/>
    <s v="On Time"/>
    <x v="0"/>
    <n v="15017.6"/>
  </r>
  <r>
    <s v="ORD0238"/>
    <x v="8"/>
    <x v="3"/>
    <s v="Furniture"/>
    <s v="Chair"/>
    <x v="2"/>
    <n v="43"/>
    <n v="573"/>
    <n v="24639"/>
    <n v="133"/>
    <n v="7"/>
    <s v="Delayed"/>
    <x v="0"/>
    <n v="4927.8"/>
  </r>
  <r>
    <s v="ORD0239"/>
    <x v="156"/>
    <x v="3"/>
    <s v="Furniture"/>
    <s v="Chair"/>
    <x v="2"/>
    <n v="19"/>
    <n v="3602"/>
    <n v="68438"/>
    <n v="241"/>
    <n v="5"/>
    <s v="On Time"/>
    <x v="0"/>
    <n v="13687.6"/>
  </r>
  <r>
    <s v="ORD0240"/>
    <x v="172"/>
    <x v="1"/>
    <s v="Office Supplies"/>
    <s v="Marker"/>
    <x v="3"/>
    <n v="45"/>
    <n v="1418"/>
    <n v="63810"/>
    <n v="32"/>
    <n v="3"/>
    <s v="On Time"/>
    <x v="1"/>
    <n v="12762"/>
  </r>
  <r>
    <s v="ORD0241"/>
    <x v="173"/>
    <x v="3"/>
    <s v="Electronics"/>
    <s v="Laptop"/>
    <x v="0"/>
    <n v="26"/>
    <n v="4654"/>
    <n v="121004"/>
    <n v="108"/>
    <n v="10"/>
    <s v="Delayed"/>
    <x v="0"/>
    <n v="24200.800000000003"/>
  </r>
  <r>
    <s v="ORD0242"/>
    <x v="174"/>
    <x v="3"/>
    <s v="Apparel"/>
    <s v="T-Shirt"/>
    <x v="2"/>
    <n v="1"/>
    <n v="852"/>
    <n v="852"/>
    <n v="87"/>
    <n v="6"/>
    <s v="Delayed"/>
    <x v="0"/>
    <n v="170.4"/>
  </r>
  <r>
    <s v="ORD0243"/>
    <x v="175"/>
    <x v="1"/>
    <s v="Furniture"/>
    <s v="Chair"/>
    <x v="0"/>
    <n v="3"/>
    <n v="3636"/>
    <n v="10908"/>
    <n v="106"/>
    <n v="9"/>
    <s v="Delayed"/>
    <x v="0"/>
    <n v="2181.6"/>
  </r>
  <r>
    <s v="ORD0244"/>
    <x v="176"/>
    <x v="2"/>
    <s v="Electronics"/>
    <s v="Mouse"/>
    <x v="0"/>
    <n v="29"/>
    <n v="3094"/>
    <n v="89726"/>
    <n v="242"/>
    <n v="4"/>
    <s v="On Time"/>
    <x v="0"/>
    <n v="17945.2"/>
  </r>
  <r>
    <s v="ORD0245"/>
    <x v="177"/>
    <x v="2"/>
    <s v="Office Supplies"/>
    <s v="Marker"/>
    <x v="2"/>
    <n v="3"/>
    <n v="3377"/>
    <n v="10131"/>
    <n v="34"/>
    <n v="9"/>
    <s v="Delayed"/>
    <x v="1"/>
    <n v="2026.2"/>
  </r>
  <r>
    <s v="ORD0246"/>
    <x v="178"/>
    <x v="1"/>
    <s v="Office Supplies"/>
    <s v="Notebook"/>
    <x v="3"/>
    <n v="41"/>
    <n v="3438"/>
    <n v="140958"/>
    <n v="200"/>
    <n v="8"/>
    <s v="Delayed"/>
    <x v="0"/>
    <n v="28191.600000000002"/>
  </r>
  <r>
    <s v="ORD0247"/>
    <x v="53"/>
    <x v="2"/>
    <s v="Office Supplies"/>
    <s v="Marker"/>
    <x v="2"/>
    <n v="40"/>
    <n v="2944"/>
    <n v="117760"/>
    <n v="284"/>
    <n v="10"/>
    <s v="Delayed"/>
    <x v="0"/>
    <n v="23552"/>
  </r>
  <r>
    <s v="ORD0248"/>
    <x v="179"/>
    <x v="1"/>
    <s v="Office Supplies"/>
    <s v="Printer Paper"/>
    <x v="3"/>
    <n v="8"/>
    <n v="2975"/>
    <n v="23800"/>
    <n v="79"/>
    <n v="3"/>
    <s v="On Time"/>
    <x v="0"/>
    <n v="4760"/>
  </r>
  <r>
    <s v="ORD0249"/>
    <x v="180"/>
    <x v="0"/>
    <s v="Apparel"/>
    <s v="T-Shirt"/>
    <x v="3"/>
    <n v="48"/>
    <n v="2232"/>
    <n v="107136"/>
    <n v="210"/>
    <n v="4"/>
    <s v="On Time"/>
    <x v="0"/>
    <n v="21427.200000000001"/>
  </r>
  <r>
    <s v="ORD0250"/>
    <x v="181"/>
    <x v="0"/>
    <s v="Electronics"/>
    <s v="Monitor"/>
    <x v="1"/>
    <n v="5"/>
    <n v="3546"/>
    <n v="17730"/>
    <n v="176"/>
    <n v="8"/>
    <s v="Delayed"/>
    <x v="0"/>
    <n v="3546"/>
  </r>
  <r>
    <s v="ORD0251"/>
    <x v="182"/>
    <x v="1"/>
    <s v="Furniture"/>
    <s v="Cabinet"/>
    <x v="0"/>
    <n v="23"/>
    <n v="3675"/>
    <n v="84525"/>
    <n v="69"/>
    <n v="7"/>
    <s v="Delayed"/>
    <x v="0"/>
    <n v="16905"/>
  </r>
  <r>
    <s v="ORD0252"/>
    <x v="80"/>
    <x v="1"/>
    <s v="Office Supplies"/>
    <s v="Printer Paper"/>
    <x v="0"/>
    <n v="22"/>
    <n v="3145"/>
    <n v="69190"/>
    <n v="136"/>
    <n v="2"/>
    <s v="On Time"/>
    <x v="0"/>
    <n v="13838"/>
  </r>
  <r>
    <s v="ORD0253"/>
    <x v="183"/>
    <x v="1"/>
    <s v="Apparel"/>
    <s v="Cap"/>
    <x v="1"/>
    <n v="49"/>
    <n v="3629"/>
    <n v="177821"/>
    <n v="251"/>
    <n v="10"/>
    <s v="Delayed"/>
    <x v="0"/>
    <n v="35564.200000000004"/>
  </r>
  <r>
    <s v="ORD0254"/>
    <x v="87"/>
    <x v="1"/>
    <s v="Furniture"/>
    <s v="Desk"/>
    <x v="2"/>
    <n v="18"/>
    <n v="2350"/>
    <n v="42300"/>
    <n v="39"/>
    <n v="8"/>
    <s v="Delayed"/>
    <x v="1"/>
    <n v="8460"/>
  </r>
  <r>
    <s v="ORD0255"/>
    <x v="184"/>
    <x v="2"/>
    <s v="Apparel"/>
    <s v="Hoodie"/>
    <x v="3"/>
    <n v="37"/>
    <n v="3634"/>
    <n v="134458"/>
    <n v="260"/>
    <n v="7"/>
    <s v="Delayed"/>
    <x v="0"/>
    <n v="26891.600000000002"/>
  </r>
  <r>
    <s v="ORD0256"/>
    <x v="185"/>
    <x v="0"/>
    <s v="Apparel"/>
    <s v="Jacket"/>
    <x v="2"/>
    <n v="40"/>
    <n v="811"/>
    <n v="32440"/>
    <n v="142"/>
    <n v="9"/>
    <s v="Delayed"/>
    <x v="0"/>
    <n v="6488"/>
  </r>
  <r>
    <s v="ORD0257"/>
    <x v="108"/>
    <x v="2"/>
    <s v="Apparel"/>
    <s v="T-Shirt"/>
    <x v="2"/>
    <n v="42"/>
    <n v="2088"/>
    <n v="87696"/>
    <n v="64"/>
    <n v="8"/>
    <s v="Delayed"/>
    <x v="0"/>
    <n v="17539.2"/>
  </r>
  <r>
    <s v="ORD0258"/>
    <x v="186"/>
    <x v="3"/>
    <s v="Apparel"/>
    <s v="Jacket"/>
    <x v="1"/>
    <n v="3"/>
    <n v="4604"/>
    <n v="13812"/>
    <n v="20"/>
    <n v="5"/>
    <s v="On Time"/>
    <x v="1"/>
    <n v="2762.4"/>
  </r>
  <r>
    <s v="ORD0259"/>
    <x v="129"/>
    <x v="1"/>
    <s v="Electronics"/>
    <s v="Laptop"/>
    <x v="0"/>
    <n v="41"/>
    <n v="4591"/>
    <n v="188231"/>
    <n v="253"/>
    <n v="2"/>
    <s v="On Time"/>
    <x v="0"/>
    <n v="37646.200000000004"/>
  </r>
  <r>
    <s v="ORD0260"/>
    <x v="187"/>
    <x v="3"/>
    <s v="Furniture"/>
    <s v="Cabinet"/>
    <x v="1"/>
    <n v="20"/>
    <n v="1492"/>
    <n v="29840"/>
    <n v="153"/>
    <n v="7"/>
    <s v="Delayed"/>
    <x v="0"/>
    <n v="5968"/>
  </r>
  <r>
    <s v="ORD0261"/>
    <x v="85"/>
    <x v="2"/>
    <s v="Furniture"/>
    <s v="Cabinet"/>
    <x v="3"/>
    <n v="44"/>
    <n v="1393"/>
    <n v="61292"/>
    <n v="181"/>
    <n v="5"/>
    <s v="On Time"/>
    <x v="0"/>
    <n v="12258.400000000001"/>
  </r>
  <r>
    <s v="ORD0262"/>
    <x v="188"/>
    <x v="0"/>
    <s v="Furniture"/>
    <s v="Desk"/>
    <x v="2"/>
    <n v="28"/>
    <n v="3928"/>
    <n v="109984"/>
    <n v="79"/>
    <n v="6"/>
    <s v="Delayed"/>
    <x v="0"/>
    <n v="21996.800000000003"/>
  </r>
  <r>
    <s v="ORD0263"/>
    <x v="189"/>
    <x v="0"/>
    <s v="Apparel"/>
    <s v="T-Shirt"/>
    <x v="1"/>
    <n v="40"/>
    <n v="4115"/>
    <n v="164600"/>
    <n v="38"/>
    <n v="4"/>
    <s v="On Time"/>
    <x v="1"/>
    <n v="32920"/>
  </r>
  <r>
    <s v="ORD0264"/>
    <x v="64"/>
    <x v="2"/>
    <s v="Office Supplies"/>
    <s v="Printer Paper"/>
    <x v="1"/>
    <n v="35"/>
    <n v="1952"/>
    <n v="68320"/>
    <n v="270"/>
    <n v="10"/>
    <s v="Delayed"/>
    <x v="0"/>
    <n v="13664"/>
  </r>
  <r>
    <s v="ORD0265"/>
    <x v="133"/>
    <x v="3"/>
    <s v="Office Supplies"/>
    <s v="Marker"/>
    <x v="3"/>
    <n v="45"/>
    <n v="3229"/>
    <n v="145305"/>
    <n v="177"/>
    <n v="6"/>
    <s v="Delayed"/>
    <x v="0"/>
    <n v="29061"/>
  </r>
  <r>
    <s v="ORD0266"/>
    <x v="190"/>
    <x v="2"/>
    <s v="Electronics"/>
    <s v="Mouse"/>
    <x v="3"/>
    <n v="9"/>
    <n v="3365"/>
    <n v="30285"/>
    <n v="84"/>
    <n v="4"/>
    <s v="On Time"/>
    <x v="0"/>
    <n v="6057"/>
  </r>
  <r>
    <s v="ORD0267"/>
    <x v="191"/>
    <x v="1"/>
    <s v="Apparel"/>
    <s v="Jacket"/>
    <x v="3"/>
    <n v="15"/>
    <n v="4629"/>
    <n v="69435"/>
    <n v="99"/>
    <n v="5"/>
    <s v="On Time"/>
    <x v="0"/>
    <n v="13887"/>
  </r>
  <r>
    <s v="ORD0268"/>
    <x v="192"/>
    <x v="1"/>
    <s v="Office Supplies"/>
    <s v="Marker"/>
    <x v="1"/>
    <n v="11"/>
    <n v="2040"/>
    <n v="22440"/>
    <n v="135"/>
    <n v="7"/>
    <s v="Delayed"/>
    <x v="0"/>
    <n v="4488"/>
  </r>
  <r>
    <s v="ORD0269"/>
    <x v="188"/>
    <x v="0"/>
    <s v="Office Supplies"/>
    <s v="Notebook"/>
    <x v="3"/>
    <n v="34"/>
    <n v="2791"/>
    <n v="94894"/>
    <n v="252"/>
    <n v="3"/>
    <s v="On Time"/>
    <x v="0"/>
    <n v="18978.8"/>
  </r>
  <r>
    <s v="ORD0270"/>
    <x v="151"/>
    <x v="2"/>
    <s v="Office Supplies"/>
    <s v="Printer Paper"/>
    <x v="2"/>
    <n v="11"/>
    <n v="2688"/>
    <n v="29568"/>
    <n v="239"/>
    <n v="9"/>
    <s v="Delayed"/>
    <x v="0"/>
    <n v="5913.6"/>
  </r>
  <r>
    <s v="ORD0271"/>
    <x v="193"/>
    <x v="1"/>
    <s v="Apparel"/>
    <s v="T-Shirt"/>
    <x v="1"/>
    <n v="37"/>
    <n v="1087"/>
    <n v="40219"/>
    <n v="206"/>
    <n v="5"/>
    <s v="On Time"/>
    <x v="0"/>
    <n v="8043.8"/>
  </r>
  <r>
    <s v="ORD0272"/>
    <x v="194"/>
    <x v="2"/>
    <s v="Furniture"/>
    <s v="Cabinet"/>
    <x v="2"/>
    <n v="49"/>
    <n v="2126"/>
    <n v="104174"/>
    <n v="240"/>
    <n v="5"/>
    <s v="On Time"/>
    <x v="0"/>
    <n v="20834.800000000003"/>
  </r>
  <r>
    <s v="ORD0273"/>
    <x v="181"/>
    <x v="1"/>
    <s v="Electronics"/>
    <s v="Keyboard"/>
    <x v="3"/>
    <n v="10"/>
    <n v="674"/>
    <n v="6740"/>
    <n v="197"/>
    <n v="6"/>
    <s v="Delayed"/>
    <x v="0"/>
    <n v="1348"/>
  </r>
  <r>
    <s v="ORD0274"/>
    <x v="195"/>
    <x v="2"/>
    <s v="Apparel"/>
    <s v="Cap"/>
    <x v="1"/>
    <n v="34"/>
    <n v="606"/>
    <n v="20604"/>
    <n v="267"/>
    <n v="4"/>
    <s v="On Time"/>
    <x v="0"/>
    <n v="4120.8"/>
  </r>
  <r>
    <s v="ORD0275"/>
    <x v="171"/>
    <x v="1"/>
    <s v="Electronics"/>
    <s v="Keyboard"/>
    <x v="2"/>
    <n v="22"/>
    <n v="714"/>
    <n v="15708"/>
    <n v="190"/>
    <n v="2"/>
    <s v="On Time"/>
    <x v="0"/>
    <n v="3141.6000000000004"/>
  </r>
  <r>
    <s v="ORD0276"/>
    <x v="196"/>
    <x v="0"/>
    <s v="Apparel"/>
    <s v="T-Shirt"/>
    <x v="2"/>
    <n v="28"/>
    <n v="1401"/>
    <n v="39228"/>
    <n v="83"/>
    <n v="4"/>
    <s v="On Time"/>
    <x v="0"/>
    <n v="7845.6"/>
  </r>
  <r>
    <s v="ORD0277"/>
    <x v="197"/>
    <x v="2"/>
    <s v="Furniture"/>
    <s v="Chair"/>
    <x v="3"/>
    <n v="17"/>
    <n v="4075"/>
    <n v="69275"/>
    <n v="279"/>
    <n v="2"/>
    <s v="On Time"/>
    <x v="0"/>
    <n v="13855"/>
  </r>
  <r>
    <s v="ORD0278"/>
    <x v="50"/>
    <x v="0"/>
    <s v="Electronics"/>
    <s v="Monitor"/>
    <x v="0"/>
    <n v="13"/>
    <n v="583"/>
    <n v="7579"/>
    <n v="180"/>
    <n v="9"/>
    <s v="Delayed"/>
    <x v="0"/>
    <n v="1515.8000000000002"/>
  </r>
  <r>
    <s v="ORD0279"/>
    <x v="198"/>
    <x v="3"/>
    <s v="Electronics"/>
    <s v="Laptop"/>
    <x v="2"/>
    <n v="21"/>
    <n v="4563"/>
    <n v="95823"/>
    <n v="167"/>
    <n v="5"/>
    <s v="On Time"/>
    <x v="0"/>
    <n v="19164.600000000002"/>
  </r>
  <r>
    <s v="ORD0280"/>
    <x v="149"/>
    <x v="1"/>
    <s v="Apparel"/>
    <s v="Hoodie"/>
    <x v="1"/>
    <n v="32"/>
    <n v="771"/>
    <n v="24672"/>
    <n v="275"/>
    <n v="2"/>
    <s v="On Time"/>
    <x v="0"/>
    <n v="4934.4000000000005"/>
  </r>
  <r>
    <s v="ORD0281"/>
    <x v="199"/>
    <x v="0"/>
    <s v="Apparel"/>
    <s v="T-Shirt"/>
    <x v="1"/>
    <n v="39"/>
    <n v="4021"/>
    <n v="156819"/>
    <n v="290"/>
    <n v="10"/>
    <s v="Delayed"/>
    <x v="0"/>
    <n v="31363.800000000003"/>
  </r>
  <r>
    <s v="ORD0282"/>
    <x v="200"/>
    <x v="3"/>
    <s v="Furniture"/>
    <s v="Table"/>
    <x v="0"/>
    <n v="14"/>
    <n v="3224"/>
    <n v="45136"/>
    <n v="238"/>
    <n v="7"/>
    <s v="Delayed"/>
    <x v="0"/>
    <n v="9027.2000000000007"/>
  </r>
  <r>
    <s v="ORD0283"/>
    <x v="201"/>
    <x v="0"/>
    <s v="Electronics"/>
    <s v="Monitor"/>
    <x v="0"/>
    <n v="49"/>
    <n v="2495"/>
    <n v="122255"/>
    <n v="173"/>
    <n v="5"/>
    <s v="On Time"/>
    <x v="0"/>
    <n v="24451"/>
  </r>
  <r>
    <s v="ORD0284"/>
    <x v="40"/>
    <x v="1"/>
    <s v="Apparel"/>
    <s v="T-Shirt"/>
    <x v="2"/>
    <n v="17"/>
    <n v="3574"/>
    <n v="60758"/>
    <n v="73"/>
    <n v="5"/>
    <s v="On Time"/>
    <x v="0"/>
    <n v="12151.6"/>
  </r>
  <r>
    <s v="ORD0285"/>
    <x v="54"/>
    <x v="3"/>
    <s v="Office Supplies"/>
    <s v="Marker"/>
    <x v="2"/>
    <n v="15"/>
    <n v="3627"/>
    <n v="54405"/>
    <n v="296"/>
    <n v="10"/>
    <s v="Delayed"/>
    <x v="0"/>
    <n v="10881"/>
  </r>
  <r>
    <s v="ORD0286"/>
    <x v="202"/>
    <x v="0"/>
    <s v="Furniture"/>
    <s v="Table"/>
    <x v="1"/>
    <n v="10"/>
    <n v="2180"/>
    <n v="21800"/>
    <n v="221"/>
    <n v="7"/>
    <s v="Delayed"/>
    <x v="0"/>
    <n v="4360"/>
  </r>
  <r>
    <s v="ORD0287"/>
    <x v="114"/>
    <x v="3"/>
    <s v="Apparel"/>
    <s v="Cap"/>
    <x v="1"/>
    <n v="2"/>
    <n v="3423"/>
    <n v="6846"/>
    <n v="56"/>
    <n v="2"/>
    <s v="On Time"/>
    <x v="0"/>
    <n v="1369.2"/>
  </r>
  <r>
    <s v="ORD0288"/>
    <x v="102"/>
    <x v="1"/>
    <s v="Electronics"/>
    <s v="Mouse"/>
    <x v="0"/>
    <n v="33"/>
    <n v="1988"/>
    <n v="65604"/>
    <n v="233"/>
    <n v="9"/>
    <s v="Delayed"/>
    <x v="0"/>
    <n v="13120.800000000001"/>
  </r>
  <r>
    <s v="ORD0289"/>
    <x v="203"/>
    <x v="2"/>
    <s v="Electronics"/>
    <s v="Keyboard"/>
    <x v="1"/>
    <n v="28"/>
    <n v="2643"/>
    <n v="74004"/>
    <n v="77"/>
    <n v="4"/>
    <s v="On Time"/>
    <x v="0"/>
    <n v="14800.800000000001"/>
  </r>
  <r>
    <s v="ORD0290"/>
    <x v="87"/>
    <x v="2"/>
    <s v="Apparel"/>
    <s v="T-Shirt"/>
    <x v="0"/>
    <n v="31"/>
    <n v="4173"/>
    <n v="129363"/>
    <n v="42"/>
    <n v="6"/>
    <s v="Delayed"/>
    <x v="1"/>
    <n v="25872.600000000002"/>
  </r>
  <r>
    <s v="ORD0291"/>
    <x v="107"/>
    <x v="0"/>
    <s v="Furniture"/>
    <s v="Cabinet"/>
    <x v="3"/>
    <n v="46"/>
    <n v="3535"/>
    <n v="162610"/>
    <n v="245"/>
    <n v="2"/>
    <s v="On Time"/>
    <x v="0"/>
    <n v="32522"/>
  </r>
  <r>
    <s v="ORD0292"/>
    <x v="28"/>
    <x v="1"/>
    <s v="Furniture"/>
    <s v="Table"/>
    <x v="3"/>
    <n v="33"/>
    <n v="3271"/>
    <n v="107943"/>
    <n v="132"/>
    <n v="9"/>
    <s v="Delayed"/>
    <x v="0"/>
    <n v="21588.600000000002"/>
  </r>
  <r>
    <s v="ORD0293"/>
    <x v="204"/>
    <x v="2"/>
    <s v="Electronics"/>
    <s v="Mouse"/>
    <x v="0"/>
    <n v="40"/>
    <n v="4629"/>
    <n v="185160"/>
    <n v="116"/>
    <n v="10"/>
    <s v="Delayed"/>
    <x v="0"/>
    <n v="37032"/>
  </r>
  <r>
    <s v="ORD0294"/>
    <x v="147"/>
    <x v="2"/>
    <s v="Apparel"/>
    <s v="T-Shirt"/>
    <x v="2"/>
    <n v="12"/>
    <n v="593"/>
    <n v="7116"/>
    <n v="150"/>
    <n v="9"/>
    <s v="Delayed"/>
    <x v="0"/>
    <n v="1423.2"/>
  </r>
  <r>
    <s v="ORD0295"/>
    <x v="205"/>
    <x v="1"/>
    <s v="Office Supplies"/>
    <s v="Printer Paper"/>
    <x v="3"/>
    <n v="25"/>
    <n v="4678"/>
    <n v="116950"/>
    <n v="63"/>
    <n v="7"/>
    <s v="Delayed"/>
    <x v="0"/>
    <n v="23390"/>
  </r>
  <r>
    <s v="ORD0296"/>
    <x v="206"/>
    <x v="0"/>
    <s v="Electronics"/>
    <s v="Mouse"/>
    <x v="2"/>
    <n v="16"/>
    <n v="857"/>
    <n v="13712"/>
    <n v="278"/>
    <n v="8"/>
    <s v="Delayed"/>
    <x v="0"/>
    <n v="2742.4"/>
  </r>
  <r>
    <s v="ORD0297"/>
    <x v="91"/>
    <x v="3"/>
    <s v="Office Supplies"/>
    <s v="File Folder"/>
    <x v="0"/>
    <n v="31"/>
    <n v="4040"/>
    <n v="125240"/>
    <n v="232"/>
    <n v="10"/>
    <s v="Delayed"/>
    <x v="0"/>
    <n v="25048"/>
  </r>
  <r>
    <s v="ORD0298"/>
    <x v="207"/>
    <x v="3"/>
    <s v="Office Supplies"/>
    <s v="Printer Paper"/>
    <x v="2"/>
    <n v="34"/>
    <n v="4669"/>
    <n v="158746"/>
    <n v="109"/>
    <n v="4"/>
    <s v="On Time"/>
    <x v="0"/>
    <n v="31749.200000000001"/>
  </r>
  <r>
    <s v="ORD0299"/>
    <x v="99"/>
    <x v="1"/>
    <s v="Furniture"/>
    <s v="Cabinet"/>
    <x v="3"/>
    <n v="12"/>
    <n v="1218"/>
    <n v="14616"/>
    <n v="262"/>
    <n v="10"/>
    <s v="Delayed"/>
    <x v="0"/>
    <n v="2923.2000000000003"/>
  </r>
  <r>
    <s v="ORD0300"/>
    <x v="82"/>
    <x v="1"/>
    <s v="Electronics"/>
    <s v="Keyboard"/>
    <x v="2"/>
    <n v="1"/>
    <n v="2296"/>
    <n v="2296"/>
    <n v="152"/>
    <n v="7"/>
    <s v="Delayed"/>
    <x v="0"/>
    <n v="459.20000000000005"/>
  </r>
  <r>
    <s v="ORD0301"/>
    <x v="208"/>
    <x v="3"/>
    <s v="Apparel"/>
    <s v="Cap"/>
    <x v="3"/>
    <n v="29"/>
    <n v="2456"/>
    <n v="71224"/>
    <n v="63"/>
    <n v="6"/>
    <s v="Delayed"/>
    <x v="0"/>
    <n v="14244.800000000001"/>
  </r>
  <r>
    <s v="ORD0302"/>
    <x v="99"/>
    <x v="3"/>
    <s v="Furniture"/>
    <s v="Table"/>
    <x v="1"/>
    <n v="12"/>
    <n v="4147"/>
    <n v="49764"/>
    <n v="292"/>
    <n v="6"/>
    <s v="Delayed"/>
    <x v="0"/>
    <n v="9952.8000000000011"/>
  </r>
  <r>
    <s v="ORD0303"/>
    <x v="49"/>
    <x v="2"/>
    <s v="Office Supplies"/>
    <s v="Marker"/>
    <x v="2"/>
    <n v="12"/>
    <n v="2175"/>
    <n v="26100"/>
    <n v="204"/>
    <n v="8"/>
    <s v="Delayed"/>
    <x v="0"/>
    <n v="5220"/>
  </r>
  <r>
    <s v="ORD0304"/>
    <x v="192"/>
    <x v="3"/>
    <s v="Electronics"/>
    <s v="Laptop"/>
    <x v="1"/>
    <n v="16"/>
    <n v="4746"/>
    <n v="75936"/>
    <n v="167"/>
    <n v="3"/>
    <s v="On Time"/>
    <x v="0"/>
    <n v="15187.2"/>
  </r>
  <r>
    <s v="ORD0305"/>
    <x v="209"/>
    <x v="2"/>
    <s v="Apparel"/>
    <s v="Hoodie"/>
    <x v="2"/>
    <n v="3"/>
    <n v="2806"/>
    <n v="8418"/>
    <n v="182"/>
    <n v="4"/>
    <s v="On Time"/>
    <x v="0"/>
    <n v="1683.6000000000001"/>
  </r>
  <r>
    <s v="ORD0306"/>
    <x v="12"/>
    <x v="3"/>
    <s v="Electronics"/>
    <s v="Keyboard"/>
    <x v="3"/>
    <n v="7"/>
    <n v="565"/>
    <n v="3955"/>
    <n v="195"/>
    <n v="9"/>
    <s v="Delayed"/>
    <x v="0"/>
    <n v="791"/>
  </r>
  <r>
    <s v="ORD0307"/>
    <x v="210"/>
    <x v="2"/>
    <s v="Electronics"/>
    <s v="Keyboard"/>
    <x v="2"/>
    <n v="39"/>
    <n v="1875"/>
    <n v="73125"/>
    <n v="81"/>
    <n v="8"/>
    <s v="Delayed"/>
    <x v="0"/>
    <n v="14625"/>
  </r>
  <r>
    <s v="ORD0308"/>
    <x v="211"/>
    <x v="2"/>
    <s v="Office Supplies"/>
    <s v="File Folder"/>
    <x v="3"/>
    <n v="39"/>
    <n v="793"/>
    <n v="30927"/>
    <n v="136"/>
    <n v="3"/>
    <s v="On Time"/>
    <x v="0"/>
    <n v="6185.4000000000005"/>
  </r>
  <r>
    <s v="ORD0309"/>
    <x v="165"/>
    <x v="3"/>
    <s v="Office Supplies"/>
    <s v="Notebook"/>
    <x v="0"/>
    <n v="42"/>
    <n v="870"/>
    <n v="36540"/>
    <n v="32"/>
    <n v="3"/>
    <s v="On Time"/>
    <x v="1"/>
    <n v="7308"/>
  </r>
  <r>
    <s v="ORD0310"/>
    <x v="35"/>
    <x v="1"/>
    <s v="Furniture"/>
    <s v="Cabinet"/>
    <x v="1"/>
    <n v="33"/>
    <n v="730"/>
    <n v="24090"/>
    <n v="123"/>
    <n v="5"/>
    <s v="On Time"/>
    <x v="0"/>
    <n v="4818"/>
  </r>
  <r>
    <s v="ORD0311"/>
    <x v="212"/>
    <x v="2"/>
    <s v="Office Supplies"/>
    <s v="Printer Paper"/>
    <x v="3"/>
    <n v="1"/>
    <n v="3742"/>
    <n v="3742"/>
    <n v="202"/>
    <n v="5"/>
    <s v="On Time"/>
    <x v="0"/>
    <n v="748.40000000000009"/>
  </r>
  <r>
    <s v="ORD0312"/>
    <x v="186"/>
    <x v="2"/>
    <s v="Furniture"/>
    <s v="Chair"/>
    <x v="3"/>
    <n v="36"/>
    <n v="1351"/>
    <n v="48636"/>
    <n v="59"/>
    <n v="5"/>
    <s v="On Time"/>
    <x v="0"/>
    <n v="9727.2000000000007"/>
  </r>
  <r>
    <s v="ORD0313"/>
    <x v="213"/>
    <x v="2"/>
    <s v="Office Supplies"/>
    <s v="File Folder"/>
    <x v="2"/>
    <n v="47"/>
    <n v="817"/>
    <n v="38399"/>
    <n v="256"/>
    <n v="4"/>
    <s v="On Time"/>
    <x v="0"/>
    <n v="7679.8"/>
  </r>
  <r>
    <s v="ORD0314"/>
    <x v="121"/>
    <x v="1"/>
    <s v="Electronics"/>
    <s v="Mouse"/>
    <x v="1"/>
    <n v="22"/>
    <n v="1426"/>
    <n v="31372"/>
    <n v="42"/>
    <n v="10"/>
    <s v="Delayed"/>
    <x v="1"/>
    <n v="6274.4000000000005"/>
  </r>
  <r>
    <s v="ORD0315"/>
    <x v="214"/>
    <x v="3"/>
    <s v="Electronics"/>
    <s v="Monitor"/>
    <x v="0"/>
    <n v="6"/>
    <n v="2098"/>
    <n v="12588"/>
    <n v="247"/>
    <n v="10"/>
    <s v="Delayed"/>
    <x v="0"/>
    <n v="2517.6000000000004"/>
  </r>
  <r>
    <s v="ORD0316"/>
    <x v="73"/>
    <x v="3"/>
    <s v="Electronics"/>
    <s v="Monitor"/>
    <x v="2"/>
    <n v="7"/>
    <n v="2227"/>
    <n v="15589"/>
    <n v="115"/>
    <n v="2"/>
    <s v="On Time"/>
    <x v="0"/>
    <n v="3117.8"/>
  </r>
  <r>
    <s v="ORD0317"/>
    <x v="79"/>
    <x v="3"/>
    <s v="Office Supplies"/>
    <s v="File Folder"/>
    <x v="3"/>
    <n v="42"/>
    <n v="4539"/>
    <n v="190638"/>
    <n v="187"/>
    <n v="7"/>
    <s v="Delayed"/>
    <x v="0"/>
    <n v="38127.599999999999"/>
  </r>
  <r>
    <s v="ORD0318"/>
    <x v="215"/>
    <x v="1"/>
    <s v="Electronics"/>
    <s v="Keyboard"/>
    <x v="1"/>
    <n v="37"/>
    <n v="4281"/>
    <n v="158397"/>
    <n v="256"/>
    <n v="3"/>
    <s v="On Time"/>
    <x v="0"/>
    <n v="31679.4"/>
  </r>
  <r>
    <s v="ORD0319"/>
    <x v="216"/>
    <x v="1"/>
    <s v="Furniture"/>
    <s v="Table"/>
    <x v="1"/>
    <n v="23"/>
    <n v="4294"/>
    <n v="98762"/>
    <n v="74"/>
    <n v="4"/>
    <s v="On Time"/>
    <x v="0"/>
    <n v="19752.400000000001"/>
  </r>
  <r>
    <s v="ORD0320"/>
    <x v="56"/>
    <x v="1"/>
    <s v="Apparel"/>
    <s v="Cap"/>
    <x v="2"/>
    <n v="14"/>
    <n v="2607"/>
    <n v="36498"/>
    <n v="64"/>
    <n v="7"/>
    <s v="Delayed"/>
    <x v="0"/>
    <n v="7299.6"/>
  </r>
  <r>
    <s v="ORD0321"/>
    <x v="52"/>
    <x v="0"/>
    <s v="Furniture"/>
    <s v="Chair"/>
    <x v="1"/>
    <n v="45"/>
    <n v="4394"/>
    <n v="197730"/>
    <n v="52"/>
    <n v="2"/>
    <s v="On Time"/>
    <x v="0"/>
    <n v="39546"/>
  </r>
  <r>
    <s v="ORD0322"/>
    <x v="126"/>
    <x v="0"/>
    <s v="Apparel"/>
    <s v="Cap"/>
    <x v="3"/>
    <n v="14"/>
    <n v="3722"/>
    <n v="52108"/>
    <n v="106"/>
    <n v="9"/>
    <s v="Delayed"/>
    <x v="0"/>
    <n v="10421.6"/>
  </r>
  <r>
    <s v="ORD0323"/>
    <x v="136"/>
    <x v="1"/>
    <s v="Furniture"/>
    <s v="Table"/>
    <x v="3"/>
    <n v="3"/>
    <n v="4275"/>
    <n v="12825"/>
    <n v="158"/>
    <n v="4"/>
    <s v="On Time"/>
    <x v="0"/>
    <n v="2565"/>
  </r>
  <r>
    <s v="ORD0324"/>
    <x v="126"/>
    <x v="1"/>
    <s v="Furniture"/>
    <s v="Table"/>
    <x v="1"/>
    <n v="16"/>
    <n v="4412"/>
    <n v="70592"/>
    <n v="68"/>
    <n v="2"/>
    <s v="On Time"/>
    <x v="0"/>
    <n v="14118.400000000001"/>
  </r>
  <r>
    <s v="ORD0325"/>
    <x v="217"/>
    <x v="0"/>
    <s v="Apparel"/>
    <s v="Hoodie"/>
    <x v="1"/>
    <n v="18"/>
    <n v="2148"/>
    <n v="38664"/>
    <n v="213"/>
    <n v="4"/>
    <s v="On Time"/>
    <x v="0"/>
    <n v="7732.8"/>
  </r>
  <r>
    <s v="ORD0326"/>
    <x v="218"/>
    <x v="3"/>
    <s v="Apparel"/>
    <s v="Cap"/>
    <x v="1"/>
    <n v="41"/>
    <n v="887"/>
    <n v="36367"/>
    <n v="119"/>
    <n v="9"/>
    <s v="Delayed"/>
    <x v="0"/>
    <n v="7273.4000000000005"/>
  </r>
  <r>
    <s v="ORD0327"/>
    <x v="187"/>
    <x v="0"/>
    <s v="Electronics"/>
    <s v="Laptop"/>
    <x v="2"/>
    <n v="15"/>
    <n v="2530"/>
    <n v="37950"/>
    <n v="71"/>
    <n v="8"/>
    <s v="Delayed"/>
    <x v="0"/>
    <n v="7590"/>
  </r>
  <r>
    <s v="ORD0328"/>
    <x v="212"/>
    <x v="3"/>
    <s v="Furniture"/>
    <s v="Table"/>
    <x v="3"/>
    <n v="10"/>
    <n v="544"/>
    <n v="5440"/>
    <n v="271"/>
    <n v="5"/>
    <s v="On Time"/>
    <x v="0"/>
    <n v="1088"/>
  </r>
  <r>
    <s v="ORD0329"/>
    <x v="219"/>
    <x v="3"/>
    <s v="Furniture"/>
    <s v="Table"/>
    <x v="1"/>
    <n v="6"/>
    <n v="675"/>
    <n v="4050"/>
    <n v="196"/>
    <n v="3"/>
    <s v="On Time"/>
    <x v="0"/>
    <n v="810"/>
  </r>
  <r>
    <s v="ORD0330"/>
    <x v="167"/>
    <x v="0"/>
    <s v="Electronics"/>
    <s v="Laptop"/>
    <x v="2"/>
    <n v="21"/>
    <n v="3388"/>
    <n v="71148"/>
    <n v="99"/>
    <n v="7"/>
    <s v="Delayed"/>
    <x v="0"/>
    <n v="14229.6"/>
  </r>
  <r>
    <s v="ORD0331"/>
    <x v="158"/>
    <x v="1"/>
    <s v="Electronics"/>
    <s v="Mouse"/>
    <x v="2"/>
    <n v="2"/>
    <n v="3616"/>
    <n v="7232"/>
    <n v="163"/>
    <n v="4"/>
    <s v="On Time"/>
    <x v="0"/>
    <n v="1446.4"/>
  </r>
  <r>
    <s v="ORD0332"/>
    <x v="220"/>
    <x v="1"/>
    <s v="Furniture"/>
    <s v="Table"/>
    <x v="2"/>
    <n v="12"/>
    <n v="3734"/>
    <n v="44808"/>
    <n v="82"/>
    <n v="5"/>
    <s v="On Time"/>
    <x v="0"/>
    <n v="8961.6"/>
  </r>
  <r>
    <s v="ORD0333"/>
    <x v="221"/>
    <x v="1"/>
    <s v="Office Supplies"/>
    <s v="File Folder"/>
    <x v="2"/>
    <n v="29"/>
    <n v="1260"/>
    <n v="36540"/>
    <n v="64"/>
    <n v="10"/>
    <s v="Delayed"/>
    <x v="0"/>
    <n v="7308"/>
  </r>
  <r>
    <s v="ORD0334"/>
    <x v="219"/>
    <x v="2"/>
    <s v="Apparel"/>
    <s v="Cap"/>
    <x v="3"/>
    <n v="28"/>
    <n v="4678"/>
    <n v="130984"/>
    <n v="283"/>
    <n v="3"/>
    <s v="On Time"/>
    <x v="0"/>
    <n v="26196.800000000003"/>
  </r>
  <r>
    <s v="ORD0335"/>
    <x v="35"/>
    <x v="1"/>
    <s v="Furniture"/>
    <s v="Desk"/>
    <x v="2"/>
    <n v="14"/>
    <n v="1034"/>
    <n v="14476"/>
    <n v="171"/>
    <n v="4"/>
    <s v="On Time"/>
    <x v="0"/>
    <n v="2895.2000000000003"/>
  </r>
  <r>
    <s v="ORD0336"/>
    <x v="222"/>
    <x v="1"/>
    <s v="Furniture"/>
    <s v="Cabinet"/>
    <x v="0"/>
    <n v="33"/>
    <n v="2599"/>
    <n v="85767"/>
    <n v="99"/>
    <n v="7"/>
    <s v="Delayed"/>
    <x v="0"/>
    <n v="17153.400000000001"/>
  </r>
  <r>
    <s v="ORD0337"/>
    <x v="194"/>
    <x v="0"/>
    <s v="Office Supplies"/>
    <s v="File Folder"/>
    <x v="3"/>
    <n v="28"/>
    <n v="2809"/>
    <n v="78652"/>
    <n v="293"/>
    <n v="8"/>
    <s v="Delayed"/>
    <x v="0"/>
    <n v="15730.400000000001"/>
  </r>
  <r>
    <s v="ORD0338"/>
    <x v="198"/>
    <x v="2"/>
    <s v="Office Supplies"/>
    <s v="Marker"/>
    <x v="3"/>
    <n v="47"/>
    <n v="3977"/>
    <n v="186919"/>
    <n v="289"/>
    <n v="8"/>
    <s v="Delayed"/>
    <x v="0"/>
    <n v="37383.800000000003"/>
  </r>
  <r>
    <s v="ORD0339"/>
    <x v="116"/>
    <x v="1"/>
    <s v="Office Supplies"/>
    <s v="Notebook"/>
    <x v="2"/>
    <n v="28"/>
    <n v="3886"/>
    <n v="108808"/>
    <n v="56"/>
    <n v="6"/>
    <s v="Delayed"/>
    <x v="0"/>
    <n v="21761.600000000002"/>
  </r>
  <r>
    <s v="ORD0340"/>
    <x v="22"/>
    <x v="2"/>
    <s v="Furniture"/>
    <s v="Desk"/>
    <x v="0"/>
    <n v="25"/>
    <n v="3197"/>
    <n v="79925"/>
    <n v="111"/>
    <n v="7"/>
    <s v="Delayed"/>
    <x v="0"/>
    <n v="15985"/>
  </r>
  <r>
    <s v="ORD0341"/>
    <x v="105"/>
    <x v="2"/>
    <s v="Office Supplies"/>
    <s v="Printer Paper"/>
    <x v="0"/>
    <n v="27"/>
    <n v="1888"/>
    <n v="50976"/>
    <n v="260"/>
    <n v="8"/>
    <s v="Delayed"/>
    <x v="0"/>
    <n v="10195.200000000001"/>
  </r>
  <r>
    <s v="ORD0342"/>
    <x v="223"/>
    <x v="0"/>
    <s v="Electronics"/>
    <s v="Mouse"/>
    <x v="2"/>
    <n v="38"/>
    <n v="1172"/>
    <n v="44536"/>
    <n v="94"/>
    <n v="7"/>
    <s v="Delayed"/>
    <x v="0"/>
    <n v="8907.2000000000007"/>
  </r>
  <r>
    <s v="ORD0343"/>
    <x v="192"/>
    <x v="0"/>
    <s v="Electronics"/>
    <s v="Mouse"/>
    <x v="2"/>
    <n v="38"/>
    <n v="2811"/>
    <n v="106818"/>
    <n v="226"/>
    <n v="8"/>
    <s v="Delayed"/>
    <x v="0"/>
    <n v="21363.600000000002"/>
  </r>
  <r>
    <s v="ORD0344"/>
    <x v="146"/>
    <x v="1"/>
    <s v="Apparel"/>
    <s v="T-Shirt"/>
    <x v="2"/>
    <n v="8"/>
    <n v="824"/>
    <n v="6592"/>
    <n v="128"/>
    <n v="9"/>
    <s v="Delayed"/>
    <x v="0"/>
    <n v="1318.4"/>
  </r>
  <r>
    <s v="ORD0345"/>
    <x v="224"/>
    <x v="3"/>
    <s v="Apparel"/>
    <s v="Hoodie"/>
    <x v="0"/>
    <n v="2"/>
    <n v="3828"/>
    <n v="7656"/>
    <n v="283"/>
    <n v="5"/>
    <s v="On Time"/>
    <x v="0"/>
    <n v="1531.2"/>
  </r>
  <r>
    <s v="ORD0346"/>
    <x v="69"/>
    <x v="0"/>
    <s v="Furniture"/>
    <s v="Table"/>
    <x v="1"/>
    <n v="1"/>
    <n v="1114"/>
    <n v="1114"/>
    <n v="91"/>
    <n v="5"/>
    <s v="On Time"/>
    <x v="0"/>
    <n v="222.8"/>
  </r>
  <r>
    <s v="ORD0347"/>
    <x v="80"/>
    <x v="0"/>
    <s v="Furniture"/>
    <s v="Cabinet"/>
    <x v="3"/>
    <n v="41"/>
    <n v="4371"/>
    <n v="179211"/>
    <n v="42"/>
    <n v="7"/>
    <s v="Delayed"/>
    <x v="1"/>
    <n v="35842.200000000004"/>
  </r>
  <r>
    <s v="ORD0348"/>
    <x v="146"/>
    <x v="2"/>
    <s v="Office Supplies"/>
    <s v="Notebook"/>
    <x v="3"/>
    <n v="22"/>
    <n v="2114"/>
    <n v="46508"/>
    <n v="118"/>
    <n v="5"/>
    <s v="On Time"/>
    <x v="0"/>
    <n v="9301.6"/>
  </r>
  <r>
    <s v="ORD0349"/>
    <x v="220"/>
    <x v="1"/>
    <s v="Electronics"/>
    <s v="Monitor"/>
    <x v="1"/>
    <n v="25"/>
    <n v="1666"/>
    <n v="41650"/>
    <n v="174"/>
    <n v="8"/>
    <s v="Delayed"/>
    <x v="0"/>
    <n v="8330"/>
  </r>
  <r>
    <s v="ORD0350"/>
    <x v="26"/>
    <x v="0"/>
    <s v="Office Supplies"/>
    <s v="Printer Paper"/>
    <x v="0"/>
    <n v="10"/>
    <n v="2220"/>
    <n v="22200"/>
    <n v="92"/>
    <n v="2"/>
    <s v="On Time"/>
    <x v="0"/>
    <n v="4440"/>
  </r>
  <r>
    <s v="ORD0351"/>
    <x v="225"/>
    <x v="3"/>
    <s v="Apparel"/>
    <s v="Jacket"/>
    <x v="3"/>
    <n v="4"/>
    <n v="4282"/>
    <n v="17128"/>
    <n v="105"/>
    <n v="7"/>
    <s v="Delayed"/>
    <x v="0"/>
    <n v="3425.6000000000004"/>
  </r>
  <r>
    <s v="ORD0352"/>
    <x v="226"/>
    <x v="3"/>
    <s v="Electronics"/>
    <s v="Monitor"/>
    <x v="0"/>
    <n v="25"/>
    <n v="2899"/>
    <n v="72475"/>
    <n v="25"/>
    <n v="7"/>
    <s v="Delayed"/>
    <x v="1"/>
    <n v="14495"/>
  </r>
  <r>
    <s v="ORD0353"/>
    <x v="227"/>
    <x v="0"/>
    <s v="Office Supplies"/>
    <s v="File Folder"/>
    <x v="1"/>
    <n v="41"/>
    <n v="3007"/>
    <n v="123287"/>
    <n v="230"/>
    <n v="9"/>
    <s v="Delayed"/>
    <x v="0"/>
    <n v="24657.4"/>
  </r>
  <r>
    <s v="ORD0354"/>
    <x v="62"/>
    <x v="1"/>
    <s v="Office Supplies"/>
    <s v="File Folder"/>
    <x v="1"/>
    <n v="23"/>
    <n v="3231"/>
    <n v="74313"/>
    <n v="15"/>
    <n v="7"/>
    <s v="Delayed"/>
    <x v="1"/>
    <n v="14862.6"/>
  </r>
  <r>
    <s v="ORD0355"/>
    <x v="228"/>
    <x v="2"/>
    <s v="Furniture"/>
    <s v="Cabinet"/>
    <x v="3"/>
    <n v="23"/>
    <n v="1325"/>
    <n v="30475"/>
    <n v="52"/>
    <n v="9"/>
    <s v="Delayed"/>
    <x v="0"/>
    <n v="6095"/>
  </r>
  <r>
    <s v="ORD0356"/>
    <x v="204"/>
    <x v="3"/>
    <s v="Apparel"/>
    <s v="T-Shirt"/>
    <x v="2"/>
    <n v="47"/>
    <n v="3140"/>
    <n v="147580"/>
    <n v="157"/>
    <n v="9"/>
    <s v="Delayed"/>
    <x v="0"/>
    <n v="29516"/>
  </r>
  <r>
    <s v="ORD0357"/>
    <x v="229"/>
    <x v="3"/>
    <s v="Electronics"/>
    <s v="Laptop"/>
    <x v="0"/>
    <n v="38"/>
    <n v="880"/>
    <n v="33440"/>
    <n v="202"/>
    <n v="4"/>
    <s v="On Time"/>
    <x v="0"/>
    <n v="6688"/>
  </r>
  <r>
    <s v="ORD0358"/>
    <x v="230"/>
    <x v="0"/>
    <s v="Apparel"/>
    <s v="Jacket"/>
    <x v="1"/>
    <n v="17"/>
    <n v="1295"/>
    <n v="22015"/>
    <n v="172"/>
    <n v="5"/>
    <s v="On Time"/>
    <x v="0"/>
    <n v="4403"/>
  </r>
  <r>
    <s v="ORD0359"/>
    <x v="38"/>
    <x v="3"/>
    <s v="Office Supplies"/>
    <s v="File Folder"/>
    <x v="3"/>
    <n v="19"/>
    <n v="3284"/>
    <n v="62396"/>
    <n v="170"/>
    <n v="3"/>
    <s v="On Time"/>
    <x v="0"/>
    <n v="12479.2"/>
  </r>
  <r>
    <s v="ORD0360"/>
    <x v="82"/>
    <x v="0"/>
    <s v="Electronics"/>
    <s v="Laptop"/>
    <x v="1"/>
    <n v="39"/>
    <n v="3725"/>
    <n v="145275"/>
    <n v="136"/>
    <n v="5"/>
    <s v="On Time"/>
    <x v="0"/>
    <n v="29055"/>
  </r>
  <r>
    <s v="ORD0361"/>
    <x v="231"/>
    <x v="2"/>
    <s v="Apparel"/>
    <s v="T-Shirt"/>
    <x v="0"/>
    <n v="6"/>
    <n v="1717"/>
    <n v="10302"/>
    <n v="61"/>
    <n v="8"/>
    <s v="Delayed"/>
    <x v="0"/>
    <n v="2060.4"/>
  </r>
  <r>
    <s v="ORD0362"/>
    <x v="232"/>
    <x v="3"/>
    <s v="Electronics"/>
    <s v="Mouse"/>
    <x v="0"/>
    <n v="38"/>
    <n v="4549"/>
    <n v="172862"/>
    <n v="80"/>
    <n v="10"/>
    <s v="Delayed"/>
    <x v="0"/>
    <n v="34572.400000000001"/>
  </r>
  <r>
    <s v="ORD0363"/>
    <x v="233"/>
    <x v="3"/>
    <s v="Furniture"/>
    <s v="Table"/>
    <x v="2"/>
    <n v="21"/>
    <n v="2032"/>
    <n v="42672"/>
    <n v="271"/>
    <n v="5"/>
    <s v="On Time"/>
    <x v="0"/>
    <n v="8534.4"/>
  </r>
  <r>
    <s v="ORD0364"/>
    <x v="178"/>
    <x v="0"/>
    <s v="Office Supplies"/>
    <s v="Notebook"/>
    <x v="0"/>
    <n v="1"/>
    <n v="4857"/>
    <n v="4857"/>
    <n v="30"/>
    <n v="7"/>
    <s v="Delayed"/>
    <x v="1"/>
    <n v="971.40000000000009"/>
  </r>
  <r>
    <s v="ORD0365"/>
    <x v="155"/>
    <x v="2"/>
    <s v="Apparel"/>
    <s v="Cap"/>
    <x v="1"/>
    <n v="24"/>
    <n v="4952"/>
    <n v="118848"/>
    <n v="244"/>
    <n v="9"/>
    <s v="Delayed"/>
    <x v="0"/>
    <n v="23769.600000000002"/>
  </r>
  <r>
    <s v="ORD0366"/>
    <x v="167"/>
    <x v="1"/>
    <s v="Electronics"/>
    <s v="Laptop"/>
    <x v="0"/>
    <n v="49"/>
    <n v="2070"/>
    <n v="101430"/>
    <n v="233"/>
    <n v="6"/>
    <s v="Delayed"/>
    <x v="0"/>
    <n v="20286"/>
  </r>
  <r>
    <s v="ORD0367"/>
    <x v="81"/>
    <x v="2"/>
    <s v="Office Supplies"/>
    <s v="File Folder"/>
    <x v="0"/>
    <n v="3"/>
    <n v="534"/>
    <n v="1602"/>
    <n v="107"/>
    <n v="10"/>
    <s v="Delayed"/>
    <x v="0"/>
    <n v="320.40000000000003"/>
  </r>
  <r>
    <s v="ORD0368"/>
    <x v="37"/>
    <x v="0"/>
    <s v="Electronics"/>
    <s v="Keyboard"/>
    <x v="3"/>
    <n v="25"/>
    <n v="3135"/>
    <n v="78375"/>
    <n v="97"/>
    <n v="6"/>
    <s v="Delayed"/>
    <x v="0"/>
    <n v="15675"/>
  </r>
  <r>
    <s v="ORD0369"/>
    <x v="234"/>
    <x v="2"/>
    <s v="Electronics"/>
    <s v="Laptop"/>
    <x v="3"/>
    <n v="44"/>
    <n v="700"/>
    <n v="30800"/>
    <n v="98"/>
    <n v="4"/>
    <s v="On Time"/>
    <x v="0"/>
    <n v="6160"/>
  </r>
  <r>
    <s v="ORD0370"/>
    <x v="55"/>
    <x v="3"/>
    <s v="Furniture"/>
    <s v="Chair"/>
    <x v="2"/>
    <n v="45"/>
    <n v="3087"/>
    <n v="138915"/>
    <n v="111"/>
    <n v="10"/>
    <s v="Delayed"/>
    <x v="0"/>
    <n v="27783"/>
  </r>
  <r>
    <s v="ORD0371"/>
    <x v="136"/>
    <x v="0"/>
    <s v="Electronics"/>
    <s v="Mouse"/>
    <x v="3"/>
    <n v="32"/>
    <n v="997"/>
    <n v="31904"/>
    <n v="214"/>
    <n v="5"/>
    <s v="On Time"/>
    <x v="0"/>
    <n v="6380.8"/>
  </r>
  <r>
    <s v="ORD0372"/>
    <x v="124"/>
    <x v="3"/>
    <s v="Apparel"/>
    <s v="Jacket"/>
    <x v="1"/>
    <n v="13"/>
    <n v="2074"/>
    <n v="26962"/>
    <n v="144"/>
    <n v="5"/>
    <s v="On Time"/>
    <x v="0"/>
    <n v="5392.4000000000005"/>
  </r>
  <r>
    <s v="ORD0373"/>
    <x v="220"/>
    <x v="2"/>
    <s v="Office Supplies"/>
    <s v="Marker"/>
    <x v="0"/>
    <n v="27"/>
    <n v="3397"/>
    <n v="91719"/>
    <n v="230"/>
    <n v="3"/>
    <s v="On Time"/>
    <x v="0"/>
    <n v="18343.8"/>
  </r>
  <r>
    <s v="ORD0374"/>
    <x v="18"/>
    <x v="2"/>
    <s v="Apparel"/>
    <s v="T-Shirt"/>
    <x v="0"/>
    <n v="6"/>
    <n v="794"/>
    <n v="4764"/>
    <n v="294"/>
    <n v="6"/>
    <s v="Delayed"/>
    <x v="0"/>
    <n v="952.80000000000007"/>
  </r>
  <r>
    <s v="ORD0375"/>
    <x v="32"/>
    <x v="3"/>
    <s v="Electronics"/>
    <s v="Monitor"/>
    <x v="1"/>
    <n v="33"/>
    <n v="4064"/>
    <n v="134112"/>
    <n v="199"/>
    <n v="8"/>
    <s v="Delayed"/>
    <x v="0"/>
    <n v="26822.400000000001"/>
  </r>
  <r>
    <s v="ORD0376"/>
    <x v="235"/>
    <x v="1"/>
    <s v="Electronics"/>
    <s v="Keyboard"/>
    <x v="3"/>
    <n v="3"/>
    <n v="2513"/>
    <n v="7539"/>
    <n v="35"/>
    <n v="6"/>
    <s v="Delayed"/>
    <x v="1"/>
    <n v="1507.8000000000002"/>
  </r>
  <r>
    <s v="ORD0377"/>
    <x v="236"/>
    <x v="2"/>
    <s v="Office Supplies"/>
    <s v="File Folder"/>
    <x v="1"/>
    <n v="40"/>
    <n v="509"/>
    <n v="20360"/>
    <n v="236"/>
    <n v="2"/>
    <s v="On Time"/>
    <x v="0"/>
    <n v="4072"/>
  </r>
  <r>
    <s v="ORD0378"/>
    <x v="148"/>
    <x v="2"/>
    <s v="Office Supplies"/>
    <s v="Printer Paper"/>
    <x v="1"/>
    <n v="26"/>
    <n v="1934"/>
    <n v="50284"/>
    <n v="295"/>
    <n v="5"/>
    <s v="On Time"/>
    <x v="0"/>
    <n v="10056.800000000001"/>
  </r>
  <r>
    <s v="ORD0379"/>
    <x v="237"/>
    <x v="0"/>
    <s v="Apparel"/>
    <s v="T-Shirt"/>
    <x v="1"/>
    <n v="21"/>
    <n v="1156"/>
    <n v="24276"/>
    <n v="214"/>
    <n v="10"/>
    <s v="Delayed"/>
    <x v="0"/>
    <n v="4855.2"/>
  </r>
  <r>
    <s v="ORD0380"/>
    <x v="25"/>
    <x v="3"/>
    <s v="Furniture"/>
    <s v="Table"/>
    <x v="1"/>
    <n v="5"/>
    <n v="3899"/>
    <n v="19495"/>
    <n v="90"/>
    <n v="8"/>
    <s v="Delayed"/>
    <x v="0"/>
    <n v="3899"/>
  </r>
  <r>
    <s v="ORD0381"/>
    <x v="89"/>
    <x v="0"/>
    <s v="Electronics"/>
    <s v="Laptop"/>
    <x v="3"/>
    <n v="43"/>
    <n v="2625"/>
    <n v="112875"/>
    <n v="47"/>
    <n v="9"/>
    <s v="Delayed"/>
    <x v="1"/>
    <n v="22575"/>
  </r>
  <r>
    <s v="ORD0382"/>
    <x v="13"/>
    <x v="3"/>
    <s v="Electronics"/>
    <s v="Keyboard"/>
    <x v="1"/>
    <n v="33"/>
    <n v="2585"/>
    <n v="85305"/>
    <n v="141"/>
    <n v="4"/>
    <s v="On Time"/>
    <x v="0"/>
    <n v="17061"/>
  </r>
  <r>
    <s v="ORD0383"/>
    <x v="170"/>
    <x v="0"/>
    <s v="Electronics"/>
    <s v="Mouse"/>
    <x v="0"/>
    <n v="23"/>
    <n v="4998"/>
    <n v="114954"/>
    <n v="235"/>
    <n v="6"/>
    <s v="Delayed"/>
    <x v="0"/>
    <n v="22990.800000000003"/>
  </r>
  <r>
    <s v="ORD0384"/>
    <x v="192"/>
    <x v="3"/>
    <s v="Furniture"/>
    <s v="Cabinet"/>
    <x v="2"/>
    <n v="17"/>
    <n v="749"/>
    <n v="12733"/>
    <n v="280"/>
    <n v="5"/>
    <s v="On Time"/>
    <x v="0"/>
    <n v="2546.6000000000004"/>
  </r>
  <r>
    <s v="ORD0385"/>
    <x v="233"/>
    <x v="0"/>
    <s v="Office Supplies"/>
    <s v="Printer Paper"/>
    <x v="1"/>
    <n v="46"/>
    <n v="2293"/>
    <n v="105478"/>
    <n v="215"/>
    <n v="7"/>
    <s v="Delayed"/>
    <x v="0"/>
    <n v="21095.600000000002"/>
  </r>
  <r>
    <s v="ORD0386"/>
    <x v="238"/>
    <x v="1"/>
    <s v="Apparel"/>
    <s v="T-Shirt"/>
    <x v="2"/>
    <n v="31"/>
    <n v="4069"/>
    <n v="126139"/>
    <n v="284"/>
    <n v="10"/>
    <s v="Delayed"/>
    <x v="0"/>
    <n v="25227.800000000003"/>
  </r>
  <r>
    <s v="ORD0387"/>
    <x v="68"/>
    <x v="1"/>
    <s v="Office Supplies"/>
    <s v="File Folder"/>
    <x v="1"/>
    <n v="2"/>
    <n v="4828"/>
    <n v="9656"/>
    <n v="151"/>
    <n v="4"/>
    <s v="On Time"/>
    <x v="0"/>
    <n v="1931.2"/>
  </r>
  <r>
    <s v="ORD0388"/>
    <x v="95"/>
    <x v="2"/>
    <s v="Electronics"/>
    <s v="Laptop"/>
    <x v="0"/>
    <n v="6"/>
    <n v="959"/>
    <n v="5754"/>
    <n v="27"/>
    <n v="3"/>
    <s v="On Time"/>
    <x v="1"/>
    <n v="1150.8"/>
  </r>
  <r>
    <s v="ORD0389"/>
    <x v="239"/>
    <x v="3"/>
    <s v="Office Supplies"/>
    <s v="File Folder"/>
    <x v="1"/>
    <n v="16"/>
    <n v="1993"/>
    <n v="31888"/>
    <n v="223"/>
    <n v="7"/>
    <s v="Delayed"/>
    <x v="0"/>
    <n v="6377.6"/>
  </r>
  <r>
    <s v="ORD0390"/>
    <x v="117"/>
    <x v="2"/>
    <s v="Apparel"/>
    <s v="Jacket"/>
    <x v="0"/>
    <n v="9"/>
    <n v="2186"/>
    <n v="19674"/>
    <n v="228"/>
    <n v="3"/>
    <s v="On Time"/>
    <x v="0"/>
    <n v="3934.8"/>
  </r>
  <r>
    <s v="ORD0391"/>
    <x v="123"/>
    <x v="0"/>
    <s v="Apparel"/>
    <s v="Cap"/>
    <x v="0"/>
    <n v="46"/>
    <n v="3757"/>
    <n v="172822"/>
    <n v="279"/>
    <n v="7"/>
    <s v="Delayed"/>
    <x v="0"/>
    <n v="34564.400000000001"/>
  </r>
  <r>
    <s v="ORD0392"/>
    <x v="95"/>
    <x v="0"/>
    <s v="Electronics"/>
    <s v="Monitor"/>
    <x v="1"/>
    <n v="15"/>
    <n v="4751"/>
    <n v="71265"/>
    <n v="220"/>
    <n v="6"/>
    <s v="Delayed"/>
    <x v="0"/>
    <n v="14253"/>
  </r>
  <r>
    <s v="ORD0393"/>
    <x v="170"/>
    <x v="2"/>
    <s v="Office Supplies"/>
    <s v="Printer Paper"/>
    <x v="3"/>
    <n v="44"/>
    <n v="4852"/>
    <n v="213488"/>
    <n v="182"/>
    <n v="7"/>
    <s v="Delayed"/>
    <x v="0"/>
    <n v="42697.600000000006"/>
  </r>
  <r>
    <s v="ORD0394"/>
    <x v="146"/>
    <x v="0"/>
    <s v="Apparel"/>
    <s v="Cap"/>
    <x v="1"/>
    <n v="28"/>
    <n v="3038"/>
    <n v="85064"/>
    <n v="249"/>
    <n v="8"/>
    <s v="Delayed"/>
    <x v="0"/>
    <n v="17012.8"/>
  </r>
  <r>
    <s v="ORD0395"/>
    <x v="240"/>
    <x v="3"/>
    <s v="Electronics"/>
    <s v="Mouse"/>
    <x v="1"/>
    <n v="40"/>
    <n v="1542"/>
    <n v="61680"/>
    <n v="297"/>
    <n v="2"/>
    <s v="On Time"/>
    <x v="0"/>
    <n v="12336"/>
  </r>
  <r>
    <s v="ORD0396"/>
    <x v="241"/>
    <x v="1"/>
    <s v="Furniture"/>
    <s v="Table"/>
    <x v="1"/>
    <n v="31"/>
    <n v="2524"/>
    <n v="78244"/>
    <n v="291"/>
    <n v="3"/>
    <s v="On Time"/>
    <x v="0"/>
    <n v="15648.800000000001"/>
  </r>
  <r>
    <s v="ORD0397"/>
    <x v="68"/>
    <x v="2"/>
    <s v="Office Supplies"/>
    <s v="Printer Paper"/>
    <x v="3"/>
    <n v="37"/>
    <n v="1820"/>
    <n v="67340"/>
    <n v="158"/>
    <n v="7"/>
    <s v="Delayed"/>
    <x v="0"/>
    <n v="13468"/>
  </r>
  <r>
    <s v="ORD0398"/>
    <x v="214"/>
    <x v="3"/>
    <s v="Apparel"/>
    <s v="Hoodie"/>
    <x v="3"/>
    <n v="15"/>
    <n v="3518"/>
    <n v="52770"/>
    <n v="127"/>
    <n v="9"/>
    <s v="Delayed"/>
    <x v="0"/>
    <n v="10554"/>
  </r>
  <r>
    <s v="ORD0399"/>
    <x v="69"/>
    <x v="1"/>
    <s v="Electronics"/>
    <s v="Mouse"/>
    <x v="3"/>
    <n v="23"/>
    <n v="1502"/>
    <n v="34546"/>
    <n v="63"/>
    <n v="4"/>
    <s v="On Time"/>
    <x v="0"/>
    <n v="6909.2000000000007"/>
  </r>
  <r>
    <s v="ORD0400"/>
    <x v="139"/>
    <x v="3"/>
    <s v="Office Supplies"/>
    <s v="Printer Paper"/>
    <x v="0"/>
    <n v="4"/>
    <n v="1991"/>
    <n v="7964"/>
    <n v="151"/>
    <n v="2"/>
    <s v="On Time"/>
    <x v="0"/>
    <n v="1592.8000000000002"/>
  </r>
  <r>
    <s v="ORD0401"/>
    <x v="242"/>
    <x v="3"/>
    <s v="Apparel"/>
    <s v="Hoodie"/>
    <x v="0"/>
    <n v="30"/>
    <n v="523"/>
    <n v="15690"/>
    <n v="12"/>
    <n v="5"/>
    <s v="On Time"/>
    <x v="1"/>
    <n v="3138"/>
  </r>
  <r>
    <s v="ORD0402"/>
    <x v="243"/>
    <x v="2"/>
    <s v="Apparel"/>
    <s v="Hoodie"/>
    <x v="1"/>
    <n v="26"/>
    <n v="4722"/>
    <n v="122772"/>
    <n v="54"/>
    <n v="10"/>
    <s v="Delayed"/>
    <x v="0"/>
    <n v="24554.400000000001"/>
  </r>
  <r>
    <s v="ORD0403"/>
    <x v="128"/>
    <x v="2"/>
    <s v="Furniture"/>
    <s v="Table"/>
    <x v="3"/>
    <n v="42"/>
    <n v="3037"/>
    <n v="127554"/>
    <n v="99"/>
    <n v="2"/>
    <s v="On Time"/>
    <x v="0"/>
    <n v="25510.800000000003"/>
  </r>
  <r>
    <s v="ORD0404"/>
    <x v="120"/>
    <x v="0"/>
    <s v="Electronics"/>
    <s v="Laptop"/>
    <x v="1"/>
    <n v="10"/>
    <n v="3381"/>
    <n v="33810"/>
    <n v="103"/>
    <n v="2"/>
    <s v="On Time"/>
    <x v="0"/>
    <n v="6762"/>
  </r>
  <r>
    <s v="ORD0405"/>
    <x v="173"/>
    <x v="0"/>
    <s v="Office Supplies"/>
    <s v="Notebook"/>
    <x v="3"/>
    <n v="12"/>
    <n v="1065"/>
    <n v="12780"/>
    <n v="261"/>
    <n v="3"/>
    <s v="On Time"/>
    <x v="0"/>
    <n v="2556"/>
  </r>
  <r>
    <s v="ORD0406"/>
    <x v="228"/>
    <x v="1"/>
    <s v="Furniture"/>
    <s v="Cabinet"/>
    <x v="1"/>
    <n v="9"/>
    <n v="620"/>
    <n v="5580"/>
    <n v="195"/>
    <n v="2"/>
    <s v="On Time"/>
    <x v="0"/>
    <n v="1116"/>
  </r>
  <r>
    <s v="ORD0407"/>
    <x v="134"/>
    <x v="2"/>
    <s v="Apparel"/>
    <s v="Cap"/>
    <x v="3"/>
    <n v="21"/>
    <n v="2755"/>
    <n v="57855"/>
    <n v="59"/>
    <n v="3"/>
    <s v="On Time"/>
    <x v="0"/>
    <n v="11571"/>
  </r>
  <r>
    <s v="ORD0408"/>
    <x v="244"/>
    <x v="0"/>
    <s v="Electronics"/>
    <s v="Mouse"/>
    <x v="3"/>
    <n v="10"/>
    <n v="4760"/>
    <n v="47600"/>
    <n v="235"/>
    <n v="10"/>
    <s v="Delayed"/>
    <x v="0"/>
    <n v="9520"/>
  </r>
  <r>
    <s v="ORD0409"/>
    <x v="245"/>
    <x v="2"/>
    <s v="Office Supplies"/>
    <s v="Notebook"/>
    <x v="2"/>
    <n v="48"/>
    <n v="2599"/>
    <n v="124752"/>
    <n v="221"/>
    <n v="10"/>
    <s v="Delayed"/>
    <x v="0"/>
    <n v="24950.400000000001"/>
  </r>
  <r>
    <s v="ORD0410"/>
    <x v="246"/>
    <x v="2"/>
    <s v="Office Supplies"/>
    <s v="Marker"/>
    <x v="3"/>
    <n v="37"/>
    <n v="2704"/>
    <n v="100048"/>
    <n v="245"/>
    <n v="3"/>
    <s v="On Time"/>
    <x v="0"/>
    <n v="20009.600000000002"/>
  </r>
  <r>
    <s v="ORD0411"/>
    <x v="218"/>
    <x v="1"/>
    <s v="Office Supplies"/>
    <s v="Printer Paper"/>
    <x v="2"/>
    <n v="24"/>
    <n v="870"/>
    <n v="20880"/>
    <n v="265"/>
    <n v="10"/>
    <s v="Delayed"/>
    <x v="0"/>
    <n v="4176"/>
  </r>
  <r>
    <s v="ORD0412"/>
    <x v="234"/>
    <x v="2"/>
    <s v="Electronics"/>
    <s v="Monitor"/>
    <x v="3"/>
    <n v="36"/>
    <n v="1947"/>
    <n v="70092"/>
    <n v="265"/>
    <n v="3"/>
    <s v="On Time"/>
    <x v="0"/>
    <n v="14018.400000000001"/>
  </r>
  <r>
    <s v="ORD0413"/>
    <x v="46"/>
    <x v="3"/>
    <s v="Apparel"/>
    <s v="Cap"/>
    <x v="2"/>
    <n v="32"/>
    <n v="751"/>
    <n v="24032"/>
    <n v="298"/>
    <n v="7"/>
    <s v="Delayed"/>
    <x v="0"/>
    <n v="4806.4000000000005"/>
  </r>
  <r>
    <s v="ORD0414"/>
    <x v="89"/>
    <x v="0"/>
    <s v="Office Supplies"/>
    <s v="File Folder"/>
    <x v="2"/>
    <n v="4"/>
    <n v="548"/>
    <n v="2192"/>
    <n v="243"/>
    <n v="3"/>
    <s v="On Time"/>
    <x v="0"/>
    <n v="438.40000000000003"/>
  </r>
  <r>
    <s v="ORD0415"/>
    <x v="247"/>
    <x v="2"/>
    <s v="Apparel"/>
    <s v="Jacket"/>
    <x v="2"/>
    <n v="11"/>
    <n v="3866"/>
    <n v="42526"/>
    <n v="72"/>
    <n v="4"/>
    <s v="On Time"/>
    <x v="0"/>
    <n v="8505.2000000000007"/>
  </r>
  <r>
    <s v="ORD0416"/>
    <x v="38"/>
    <x v="0"/>
    <s v="Apparel"/>
    <s v="Hoodie"/>
    <x v="2"/>
    <n v="21"/>
    <n v="2457"/>
    <n v="51597"/>
    <n v="156"/>
    <n v="7"/>
    <s v="Delayed"/>
    <x v="0"/>
    <n v="10319.400000000001"/>
  </r>
  <r>
    <s v="ORD0417"/>
    <x v="151"/>
    <x v="0"/>
    <s v="Office Supplies"/>
    <s v="File Folder"/>
    <x v="0"/>
    <n v="3"/>
    <n v="2972"/>
    <n v="8916"/>
    <n v="141"/>
    <n v="3"/>
    <s v="On Time"/>
    <x v="0"/>
    <n v="1783.2"/>
  </r>
  <r>
    <s v="ORD0418"/>
    <x v="248"/>
    <x v="1"/>
    <s v="Office Supplies"/>
    <s v="Notebook"/>
    <x v="2"/>
    <n v="46"/>
    <n v="4552"/>
    <n v="209392"/>
    <n v="197"/>
    <n v="3"/>
    <s v="On Time"/>
    <x v="0"/>
    <n v="41878.400000000001"/>
  </r>
  <r>
    <s v="ORD0419"/>
    <x v="19"/>
    <x v="3"/>
    <s v="Furniture"/>
    <s v="Table"/>
    <x v="1"/>
    <n v="24"/>
    <n v="4540"/>
    <n v="108960"/>
    <n v="165"/>
    <n v="6"/>
    <s v="Delayed"/>
    <x v="0"/>
    <n v="21792"/>
  </r>
  <r>
    <s v="ORD0420"/>
    <x v="245"/>
    <x v="1"/>
    <s v="Apparel"/>
    <s v="Hoodie"/>
    <x v="1"/>
    <n v="2"/>
    <n v="3013"/>
    <n v="6026"/>
    <n v="271"/>
    <n v="5"/>
    <s v="On Time"/>
    <x v="0"/>
    <n v="1205.2"/>
  </r>
  <r>
    <s v="ORD0421"/>
    <x v="121"/>
    <x v="3"/>
    <s v="Office Supplies"/>
    <s v="Marker"/>
    <x v="1"/>
    <n v="40"/>
    <n v="3976"/>
    <n v="159040"/>
    <n v="170"/>
    <n v="8"/>
    <s v="Delayed"/>
    <x v="0"/>
    <n v="31808"/>
  </r>
  <r>
    <s v="ORD0422"/>
    <x v="182"/>
    <x v="0"/>
    <s v="Apparel"/>
    <s v="Jacket"/>
    <x v="3"/>
    <n v="15"/>
    <n v="4917"/>
    <n v="73755"/>
    <n v="58"/>
    <n v="9"/>
    <s v="Delayed"/>
    <x v="0"/>
    <n v="14751"/>
  </r>
  <r>
    <s v="ORD0423"/>
    <x v="249"/>
    <x v="1"/>
    <s v="Office Supplies"/>
    <s v="Printer Paper"/>
    <x v="3"/>
    <n v="25"/>
    <n v="979"/>
    <n v="24475"/>
    <n v="245"/>
    <n v="8"/>
    <s v="Delayed"/>
    <x v="0"/>
    <n v="4895"/>
  </r>
  <r>
    <s v="ORD0424"/>
    <x v="198"/>
    <x v="0"/>
    <s v="Office Supplies"/>
    <s v="File Folder"/>
    <x v="3"/>
    <n v="39"/>
    <n v="1857"/>
    <n v="72423"/>
    <n v="207"/>
    <n v="8"/>
    <s v="Delayed"/>
    <x v="0"/>
    <n v="14484.6"/>
  </r>
  <r>
    <s v="ORD0425"/>
    <x v="249"/>
    <x v="1"/>
    <s v="Electronics"/>
    <s v="Mouse"/>
    <x v="2"/>
    <n v="50"/>
    <n v="1965"/>
    <n v="98250"/>
    <n v="171"/>
    <n v="9"/>
    <s v="Delayed"/>
    <x v="0"/>
    <n v="19650"/>
  </r>
  <r>
    <s v="ORD0426"/>
    <x v="198"/>
    <x v="2"/>
    <s v="Electronics"/>
    <s v="Monitor"/>
    <x v="3"/>
    <n v="2"/>
    <n v="3342"/>
    <n v="6684"/>
    <n v="284"/>
    <n v="3"/>
    <s v="On Time"/>
    <x v="0"/>
    <n v="1336.8000000000002"/>
  </r>
  <r>
    <s v="ORD0427"/>
    <x v="250"/>
    <x v="1"/>
    <s v="Furniture"/>
    <s v="Table"/>
    <x v="0"/>
    <n v="6"/>
    <n v="1259"/>
    <n v="7554"/>
    <n v="213"/>
    <n v="4"/>
    <s v="On Time"/>
    <x v="0"/>
    <n v="1510.8000000000002"/>
  </r>
  <r>
    <s v="ORD0428"/>
    <x v="70"/>
    <x v="2"/>
    <s v="Apparel"/>
    <s v="T-Shirt"/>
    <x v="1"/>
    <n v="49"/>
    <n v="3611"/>
    <n v="176939"/>
    <n v="192"/>
    <n v="10"/>
    <s v="Delayed"/>
    <x v="0"/>
    <n v="35387.800000000003"/>
  </r>
  <r>
    <s v="ORD0429"/>
    <x v="237"/>
    <x v="3"/>
    <s v="Apparel"/>
    <s v="Hoodie"/>
    <x v="3"/>
    <n v="46"/>
    <n v="2763"/>
    <n v="127098"/>
    <n v="164"/>
    <n v="4"/>
    <s v="On Time"/>
    <x v="0"/>
    <n v="25419.600000000002"/>
  </r>
  <r>
    <s v="ORD0430"/>
    <x v="106"/>
    <x v="2"/>
    <s v="Electronics"/>
    <s v="Monitor"/>
    <x v="2"/>
    <n v="19"/>
    <n v="2286"/>
    <n v="43434"/>
    <n v="62"/>
    <n v="6"/>
    <s v="Delayed"/>
    <x v="0"/>
    <n v="8686.8000000000011"/>
  </r>
  <r>
    <s v="ORD0431"/>
    <x v="251"/>
    <x v="1"/>
    <s v="Electronics"/>
    <s v="Mouse"/>
    <x v="2"/>
    <n v="29"/>
    <n v="3599"/>
    <n v="104371"/>
    <n v="229"/>
    <n v="4"/>
    <s v="On Time"/>
    <x v="0"/>
    <n v="20874.2"/>
  </r>
  <r>
    <s v="ORD0432"/>
    <x v="252"/>
    <x v="2"/>
    <s v="Office Supplies"/>
    <s v="Notebook"/>
    <x v="1"/>
    <n v="4"/>
    <n v="2097"/>
    <n v="8388"/>
    <n v="241"/>
    <n v="3"/>
    <s v="On Time"/>
    <x v="0"/>
    <n v="1677.6000000000001"/>
  </r>
  <r>
    <s v="ORD0433"/>
    <x v="253"/>
    <x v="1"/>
    <s v="Electronics"/>
    <s v="Mouse"/>
    <x v="3"/>
    <n v="20"/>
    <n v="3125"/>
    <n v="62500"/>
    <n v="295"/>
    <n v="2"/>
    <s v="On Time"/>
    <x v="0"/>
    <n v="12500"/>
  </r>
  <r>
    <s v="ORD0434"/>
    <x v="45"/>
    <x v="1"/>
    <s v="Office Supplies"/>
    <s v="Printer Paper"/>
    <x v="2"/>
    <n v="49"/>
    <n v="2031"/>
    <n v="99519"/>
    <n v="158"/>
    <n v="2"/>
    <s v="On Time"/>
    <x v="0"/>
    <n v="19903.800000000003"/>
  </r>
  <r>
    <s v="ORD0435"/>
    <x v="154"/>
    <x v="3"/>
    <s v="Furniture"/>
    <s v="Chair"/>
    <x v="3"/>
    <n v="1"/>
    <n v="1049"/>
    <n v="1049"/>
    <n v="72"/>
    <n v="5"/>
    <s v="On Time"/>
    <x v="0"/>
    <n v="209.8"/>
  </r>
  <r>
    <s v="ORD0436"/>
    <x v="252"/>
    <x v="1"/>
    <s v="Office Supplies"/>
    <s v="Printer Paper"/>
    <x v="2"/>
    <n v="40"/>
    <n v="1569"/>
    <n v="62760"/>
    <n v="247"/>
    <n v="3"/>
    <s v="On Time"/>
    <x v="0"/>
    <n v="12552"/>
  </r>
  <r>
    <s v="ORD0437"/>
    <x v="236"/>
    <x v="1"/>
    <s v="Furniture"/>
    <s v="Table"/>
    <x v="1"/>
    <n v="2"/>
    <n v="724"/>
    <n v="1448"/>
    <n v="56"/>
    <n v="7"/>
    <s v="Delayed"/>
    <x v="0"/>
    <n v="289.60000000000002"/>
  </r>
  <r>
    <s v="ORD0438"/>
    <x v="254"/>
    <x v="1"/>
    <s v="Office Supplies"/>
    <s v="Notebook"/>
    <x v="1"/>
    <n v="6"/>
    <n v="2412"/>
    <n v="14472"/>
    <n v="247"/>
    <n v="5"/>
    <s v="On Time"/>
    <x v="0"/>
    <n v="2894.4"/>
  </r>
  <r>
    <s v="ORD0439"/>
    <x v="58"/>
    <x v="2"/>
    <s v="Office Supplies"/>
    <s v="File Folder"/>
    <x v="1"/>
    <n v="28"/>
    <n v="2926"/>
    <n v="81928"/>
    <n v="125"/>
    <n v="3"/>
    <s v="On Time"/>
    <x v="0"/>
    <n v="16385.600000000002"/>
  </r>
  <r>
    <s v="ORD0440"/>
    <x v="89"/>
    <x v="0"/>
    <s v="Electronics"/>
    <s v="Mouse"/>
    <x v="1"/>
    <n v="25"/>
    <n v="3148"/>
    <n v="78700"/>
    <n v="216"/>
    <n v="5"/>
    <s v="On Time"/>
    <x v="0"/>
    <n v="15740"/>
  </r>
  <r>
    <s v="ORD0441"/>
    <x v="68"/>
    <x v="2"/>
    <s v="Electronics"/>
    <s v="Mouse"/>
    <x v="2"/>
    <n v="14"/>
    <n v="3640"/>
    <n v="50960"/>
    <n v="137"/>
    <n v="6"/>
    <s v="Delayed"/>
    <x v="0"/>
    <n v="10192"/>
  </r>
  <r>
    <s v="ORD0442"/>
    <x v="255"/>
    <x v="2"/>
    <s v="Furniture"/>
    <s v="Chair"/>
    <x v="2"/>
    <n v="35"/>
    <n v="2427"/>
    <n v="84945"/>
    <n v="61"/>
    <n v="8"/>
    <s v="Delayed"/>
    <x v="0"/>
    <n v="16989"/>
  </r>
  <r>
    <s v="ORD0443"/>
    <x v="34"/>
    <x v="1"/>
    <s v="Office Supplies"/>
    <s v="Notebook"/>
    <x v="0"/>
    <n v="9"/>
    <n v="3213"/>
    <n v="28917"/>
    <n v="113"/>
    <n v="2"/>
    <s v="On Time"/>
    <x v="0"/>
    <n v="5783.4000000000005"/>
  </r>
  <r>
    <s v="ORD0444"/>
    <x v="75"/>
    <x v="0"/>
    <s v="Electronics"/>
    <s v="Keyboard"/>
    <x v="2"/>
    <n v="12"/>
    <n v="2164"/>
    <n v="25968"/>
    <n v="13"/>
    <n v="8"/>
    <s v="Delayed"/>
    <x v="1"/>
    <n v="5193.6000000000004"/>
  </r>
  <r>
    <s v="ORD0445"/>
    <x v="256"/>
    <x v="2"/>
    <s v="Furniture"/>
    <s v="Table"/>
    <x v="3"/>
    <n v="40"/>
    <n v="3718"/>
    <n v="148720"/>
    <n v="150"/>
    <n v="9"/>
    <s v="Delayed"/>
    <x v="0"/>
    <n v="29744"/>
  </r>
  <r>
    <s v="ORD0446"/>
    <x v="61"/>
    <x v="2"/>
    <s v="Furniture"/>
    <s v="Table"/>
    <x v="0"/>
    <n v="23"/>
    <n v="2218"/>
    <n v="51014"/>
    <n v="208"/>
    <n v="9"/>
    <s v="Delayed"/>
    <x v="0"/>
    <n v="10202.800000000001"/>
  </r>
  <r>
    <s v="ORD0447"/>
    <x v="18"/>
    <x v="2"/>
    <s v="Furniture"/>
    <s v="Cabinet"/>
    <x v="0"/>
    <n v="1"/>
    <n v="962"/>
    <n v="962"/>
    <n v="299"/>
    <n v="7"/>
    <s v="Delayed"/>
    <x v="0"/>
    <n v="192.4"/>
  </r>
  <r>
    <s v="ORD0448"/>
    <x v="108"/>
    <x v="2"/>
    <s v="Furniture"/>
    <s v="Chair"/>
    <x v="1"/>
    <n v="10"/>
    <n v="3248"/>
    <n v="32480"/>
    <n v="242"/>
    <n v="6"/>
    <s v="Delayed"/>
    <x v="0"/>
    <n v="6496"/>
  </r>
  <r>
    <s v="ORD0449"/>
    <x v="14"/>
    <x v="0"/>
    <s v="Electronics"/>
    <s v="Monitor"/>
    <x v="3"/>
    <n v="22"/>
    <n v="4099"/>
    <n v="90178"/>
    <n v="181"/>
    <n v="8"/>
    <s v="Delayed"/>
    <x v="0"/>
    <n v="18035.600000000002"/>
  </r>
  <r>
    <s v="ORD0450"/>
    <x v="241"/>
    <x v="1"/>
    <s v="Furniture"/>
    <s v="Table"/>
    <x v="2"/>
    <n v="6"/>
    <n v="4113"/>
    <n v="24678"/>
    <n v="183"/>
    <n v="2"/>
    <s v="On Time"/>
    <x v="0"/>
    <n v="4935.6000000000004"/>
  </r>
  <r>
    <s v="ORD0451"/>
    <x v="168"/>
    <x v="3"/>
    <s v="Apparel"/>
    <s v="Jacket"/>
    <x v="2"/>
    <n v="16"/>
    <n v="4310"/>
    <n v="68960"/>
    <n v="298"/>
    <n v="4"/>
    <s v="On Time"/>
    <x v="0"/>
    <n v="13792"/>
  </r>
  <r>
    <s v="ORD0452"/>
    <x v="7"/>
    <x v="2"/>
    <s v="Furniture"/>
    <s v="Table"/>
    <x v="1"/>
    <n v="38"/>
    <n v="1075"/>
    <n v="40850"/>
    <n v="169"/>
    <n v="7"/>
    <s v="Delayed"/>
    <x v="0"/>
    <n v="8170"/>
  </r>
  <r>
    <s v="ORD0453"/>
    <x v="104"/>
    <x v="2"/>
    <s v="Electronics"/>
    <s v="Monitor"/>
    <x v="2"/>
    <n v="27"/>
    <n v="1847"/>
    <n v="49869"/>
    <n v="15"/>
    <n v="3"/>
    <s v="On Time"/>
    <x v="1"/>
    <n v="9973.8000000000011"/>
  </r>
  <r>
    <s v="ORD0454"/>
    <x v="161"/>
    <x v="0"/>
    <s v="Furniture"/>
    <s v="Chair"/>
    <x v="0"/>
    <n v="36"/>
    <n v="3854"/>
    <n v="138744"/>
    <n v="15"/>
    <n v="6"/>
    <s v="Delayed"/>
    <x v="1"/>
    <n v="27748.800000000003"/>
  </r>
  <r>
    <s v="ORD0455"/>
    <x v="186"/>
    <x v="0"/>
    <s v="Apparel"/>
    <s v="T-Shirt"/>
    <x v="3"/>
    <n v="15"/>
    <n v="4982"/>
    <n v="74730"/>
    <n v="71"/>
    <n v="10"/>
    <s v="Delayed"/>
    <x v="0"/>
    <n v="14946"/>
  </r>
  <r>
    <s v="ORD0456"/>
    <x v="23"/>
    <x v="3"/>
    <s v="Electronics"/>
    <s v="Mouse"/>
    <x v="2"/>
    <n v="30"/>
    <n v="1938"/>
    <n v="58140"/>
    <n v="49"/>
    <n v="10"/>
    <s v="Delayed"/>
    <x v="1"/>
    <n v="11628"/>
  </r>
  <r>
    <s v="ORD0457"/>
    <x v="186"/>
    <x v="3"/>
    <s v="Apparel"/>
    <s v="T-Shirt"/>
    <x v="1"/>
    <n v="8"/>
    <n v="3551"/>
    <n v="28408"/>
    <n v="234"/>
    <n v="10"/>
    <s v="Delayed"/>
    <x v="0"/>
    <n v="5681.6"/>
  </r>
  <r>
    <s v="ORD0458"/>
    <x v="73"/>
    <x v="2"/>
    <s v="Electronics"/>
    <s v="Keyboard"/>
    <x v="0"/>
    <n v="39"/>
    <n v="1117"/>
    <n v="43563"/>
    <n v="106"/>
    <n v="8"/>
    <s v="Delayed"/>
    <x v="0"/>
    <n v="8712.6"/>
  </r>
  <r>
    <s v="ORD0459"/>
    <x v="48"/>
    <x v="0"/>
    <s v="Furniture"/>
    <s v="Cabinet"/>
    <x v="2"/>
    <n v="13"/>
    <n v="4325"/>
    <n v="56225"/>
    <n v="71"/>
    <n v="8"/>
    <s v="Delayed"/>
    <x v="0"/>
    <n v="11245"/>
  </r>
  <r>
    <s v="ORD0460"/>
    <x v="257"/>
    <x v="1"/>
    <s v="Office Supplies"/>
    <s v="Marker"/>
    <x v="0"/>
    <n v="46"/>
    <n v="822"/>
    <n v="37812"/>
    <n v="11"/>
    <n v="4"/>
    <s v="On Time"/>
    <x v="1"/>
    <n v="7562.4000000000005"/>
  </r>
  <r>
    <s v="ORD0461"/>
    <x v="214"/>
    <x v="3"/>
    <s v="Office Supplies"/>
    <s v="Printer Paper"/>
    <x v="2"/>
    <n v="33"/>
    <n v="636"/>
    <n v="20988"/>
    <n v="52"/>
    <n v="7"/>
    <s v="Delayed"/>
    <x v="0"/>
    <n v="4197.6000000000004"/>
  </r>
  <r>
    <s v="ORD0462"/>
    <x v="203"/>
    <x v="3"/>
    <s v="Office Supplies"/>
    <s v="File Folder"/>
    <x v="3"/>
    <n v="4"/>
    <n v="782"/>
    <n v="3128"/>
    <n v="57"/>
    <n v="3"/>
    <s v="On Time"/>
    <x v="0"/>
    <n v="625.6"/>
  </r>
  <r>
    <s v="ORD0463"/>
    <x v="62"/>
    <x v="2"/>
    <s v="Apparel"/>
    <s v="Jacket"/>
    <x v="1"/>
    <n v="45"/>
    <n v="831"/>
    <n v="37395"/>
    <n v="217"/>
    <n v="2"/>
    <s v="On Time"/>
    <x v="0"/>
    <n v="7479"/>
  </r>
  <r>
    <s v="ORD0464"/>
    <x v="194"/>
    <x v="3"/>
    <s v="Apparel"/>
    <s v="Cap"/>
    <x v="3"/>
    <n v="19"/>
    <n v="2515"/>
    <n v="47785"/>
    <n v="260"/>
    <n v="9"/>
    <s v="Delayed"/>
    <x v="0"/>
    <n v="9557"/>
  </r>
  <r>
    <s v="ORD0465"/>
    <x v="258"/>
    <x v="0"/>
    <s v="Office Supplies"/>
    <s v="Marker"/>
    <x v="0"/>
    <n v="35"/>
    <n v="2890"/>
    <n v="101150"/>
    <n v="90"/>
    <n v="9"/>
    <s v="Delayed"/>
    <x v="0"/>
    <n v="20230"/>
  </r>
  <r>
    <s v="ORD0466"/>
    <x v="20"/>
    <x v="2"/>
    <s v="Office Supplies"/>
    <s v="Marker"/>
    <x v="1"/>
    <n v="46"/>
    <n v="2073"/>
    <n v="95358"/>
    <n v="108"/>
    <n v="6"/>
    <s v="Delayed"/>
    <x v="0"/>
    <n v="19071.600000000002"/>
  </r>
  <r>
    <s v="ORD0467"/>
    <x v="3"/>
    <x v="1"/>
    <s v="Electronics"/>
    <s v="Keyboard"/>
    <x v="0"/>
    <n v="24"/>
    <n v="708"/>
    <n v="16992"/>
    <n v="90"/>
    <n v="6"/>
    <s v="Delayed"/>
    <x v="0"/>
    <n v="3398.4"/>
  </r>
  <r>
    <s v="ORD0468"/>
    <x v="159"/>
    <x v="0"/>
    <s v="Electronics"/>
    <s v="Monitor"/>
    <x v="1"/>
    <n v="49"/>
    <n v="4490"/>
    <n v="220010"/>
    <n v="13"/>
    <n v="7"/>
    <s v="Delayed"/>
    <x v="1"/>
    <n v="44002"/>
  </r>
  <r>
    <s v="ORD0469"/>
    <x v="124"/>
    <x v="2"/>
    <s v="Apparel"/>
    <s v="T-Shirt"/>
    <x v="1"/>
    <n v="16"/>
    <n v="4236"/>
    <n v="67776"/>
    <n v="288"/>
    <n v="5"/>
    <s v="On Time"/>
    <x v="0"/>
    <n v="13555.2"/>
  </r>
  <r>
    <s v="ORD0470"/>
    <x v="204"/>
    <x v="0"/>
    <s v="Electronics"/>
    <s v="Laptop"/>
    <x v="2"/>
    <n v="9"/>
    <n v="567"/>
    <n v="5103"/>
    <n v="21"/>
    <n v="2"/>
    <s v="On Time"/>
    <x v="1"/>
    <n v="1020.6"/>
  </r>
  <r>
    <s v="ORD0471"/>
    <x v="177"/>
    <x v="3"/>
    <s v="Apparel"/>
    <s v="T-Shirt"/>
    <x v="1"/>
    <n v="18"/>
    <n v="2689"/>
    <n v="48402"/>
    <n v="258"/>
    <n v="2"/>
    <s v="On Time"/>
    <x v="0"/>
    <n v="9680.4"/>
  </r>
  <r>
    <s v="ORD0472"/>
    <x v="24"/>
    <x v="2"/>
    <s v="Apparel"/>
    <s v="Hoodie"/>
    <x v="2"/>
    <n v="9"/>
    <n v="4164"/>
    <n v="37476"/>
    <n v="55"/>
    <n v="10"/>
    <s v="Delayed"/>
    <x v="0"/>
    <n v="7495.2000000000007"/>
  </r>
  <r>
    <s v="ORD0473"/>
    <x v="259"/>
    <x v="2"/>
    <s v="Office Supplies"/>
    <s v="Marker"/>
    <x v="2"/>
    <n v="13"/>
    <n v="1298"/>
    <n v="16874"/>
    <n v="62"/>
    <n v="7"/>
    <s v="Delayed"/>
    <x v="0"/>
    <n v="3374.8"/>
  </r>
  <r>
    <s v="ORD0474"/>
    <x v="168"/>
    <x v="3"/>
    <s v="Apparel"/>
    <s v="Cap"/>
    <x v="1"/>
    <n v="31"/>
    <n v="585"/>
    <n v="18135"/>
    <n v="39"/>
    <n v="6"/>
    <s v="Delayed"/>
    <x v="1"/>
    <n v="3627"/>
  </r>
  <r>
    <s v="ORD0475"/>
    <x v="184"/>
    <x v="3"/>
    <s v="Furniture"/>
    <s v="Chair"/>
    <x v="3"/>
    <n v="10"/>
    <n v="4121"/>
    <n v="41210"/>
    <n v="145"/>
    <n v="8"/>
    <s v="Delayed"/>
    <x v="0"/>
    <n v="8242"/>
  </r>
  <r>
    <s v="ORD0476"/>
    <x v="68"/>
    <x v="3"/>
    <s v="Electronics"/>
    <s v="Laptop"/>
    <x v="3"/>
    <n v="37"/>
    <n v="2851"/>
    <n v="105487"/>
    <n v="240"/>
    <n v="8"/>
    <s v="Delayed"/>
    <x v="0"/>
    <n v="21097.4"/>
  </r>
  <r>
    <s v="ORD0477"/>
    <x v="260"/>
    <x v="3"/>
    <s v="Electronics"/>
    <s v="Keyboard"/>
    <x v="1"/>
    <n v="43"/>
    <n v="2876"/>
    <n v="123668"/>
    <n v="94"/>
    <n v="2"/>
    <s v="On Time"/>
    <x v="0"/>
    <n v="24733.600000000002"/>
  </r>
  <r>
    <s v="ORD0478"/>
    <x v="125"/>
    <x v="3"/>
    <s v="Electronics"/>
    <s v="Monitor"/>
    <x v="0"/>
    <n v="9"/>
    <n v="2464"/>
    <n v="22176"/>
    <n v="205"/>
    <n v="8"/>
    <s v="Delayed"/>
    <x v="0"/>
    <n v="4435.2"/>
  </r>
  <r>
    <s v="ORD0479"/>
    <x v="261"/>
    <x v="0"/>
    <s v="Apparel"/>
    <s v="Cap"/>
    <x v="1"/>
    <n v="13"/>
    <n v="924"/>
    <n v="12012"/>
    <n v="28"/>
    <n v="6"/>
    <s v="Delayed"/>
    <x v="1"/>
    <n v="2402.4"/>
  </r>
  <r>
    <s v="ORD0480"/>
    <x v="136"/>
    <x v="0"/>
    <s v="Office Supplies"/>
    <s v="Printer Paper"/>
    <x v="0"/>
    <n v="13"/>
    <n v="3204"/>
    <n v="41652"/>
    <n v="134"/>
    <n v="8"/>
    <s v="Delayed"/>
    <x v="0"/>
    <n v="8330.4"/>
  </r>
  <r>
    <s v="ORD0481"/>
    <x v="54"/>
    <x v="1"/>
    <s v="Furniture"/>
    <s v="Table"/>
    <x v="0"/>
    <n v="40"/>
    <n v="1304"/>
    <n v="52160"/>
    <n v="148"/>
    <n v="2"/>
    <s v="On Time"/>
    <x v="0"/>
    <n v="10432"/>
  </r>
  <r>
    <s v="ORD0482"/>
    <x v="70"/>
    <x v="2"/>
    <s v="Office Supplies"/>
    <s v="Notebook"/>
    <x v="0"/>
    <n v="5"/>
    <n v="4769"/>
    <n v="23845"/>
    <n v="140"/>
    <n v="9"/>
    <s v="Delayed"/>
    <x v="0"/>
    <n v="4769"/>
  </r>
  <r>
    <s v="ORD0483"/>
    <x v="205"/>
    <x v="0"/>
    <s v="Apparel"/>
    <s v="Jacket"/>
    <x v="0"/>
    <n v="45"/>
    <n v="652"/>
    <n v="29340"/>
    <n v="165"/>
    <n v="5"/>
    <s v="On Time"/>
    <x v="0"/>
    <n v="5868"/>
  </r>
  <r>
    <s v="ORD0484"/>
    <x v="31"/>
    <x v="1"/>
    <s v="Office Supplies"/>
    <s v="Marker"/>
    <x v="1"/>
    <n v="39"/>
    <n v="3206"/>
    <n v="125034"/>
    <n v="11"/>
    <n v="10"/>
    <s v="Delayed"/>
    <x v="1"/>
    <n v="25006.800000000003"/>
  </r>
  <r>
    <s v="ORD0485"/>
    <x v="137"/>
    <x v="1"/>
    <s v="Electronics"/>
    <s v="Monitor"/>
    <x v="2"/>
    <n v="39"/>
    <n v="2161"/>
    <n v="84279"/>
    <n v="65"/>
    <n v="4"/>
    <s v="On Time"/>
    <x v="0"/>
    <n v="16855.8"/>
  </r>
  <r>
    <s v="ORD0486"/>
    <x v="262"/>
    <x v="3"/>
    <s v="Furniture"/>
    <s v="Chair"/>
    <x v="1"/>
    <n v="44"/>
    <n v="633"/>
    <n v="27852"/>
    <n v="273"/>
    <n v="10"/>
    <s v="Delayed"/>
    <x v="0"/>
    <n v="5570.4000000000005"/>
  </r>
  <r>
    <s v="ORD0487"/>
    <x v="202"/>
    <x v="2"/>
    <s v="Office Supplies"/>
    <s v="Printer Paper"/>
    <x v="3"/>
    <n v="15"/>
    <n v="2520"/>
    <n v="37800"/>
    <n v="78"/>
    <n v="7"/>
    <s v="Delayed"/>
    <x v="0"/>
    <n v="7560"/>
  </r>
  <r>
    <s v="ORD0488"/>
    <x v="263"/>
    <x v="1"/>
    <s v="Office Supplies"/>
    <s v="Notebook"/>
    <x v="2"/>
    <n v="3"/>
    <n v="4692"/>
    <n v="14076"/>
    <n v="139"/>
    <n v="7"/>
    <s v="Delayed"/>
    <x v="0"/>
    <n v="2815.2000000000003"/>
  </r>
  <r>
    <s v="ORD0489"/>
    <x v="142"/>
    <x v="2"/>
    <s v="Electronics"/>
    <s v="Mouse"/>
    <x v="3"/>
    <n v="29"/>
    <n v="3376"/>
    <n v="97904"/>
    <n v="190"/>
    <n v="3"/>
    <s v="On Time"/>
    <x v="0"/>
    <n v="19580.8"/>
  </r>
  <r>
    <s v="ORD0490"/>
    <x v="2"/>
    <x v="0"/>
    <s v="Electronics"/>
    <s v="Keyboard"/>
    <x v="3"/>
    <n v="2"/>
    <n v="2701"/>
    <n v="5402"/>
    <n v="296"/>
    <n v="7"/>
    <s v="Delayed"/>
    <x v="0"/>
    <n v="1080.4000000000001"/>
  </r>
  <r>
    <s v="ORD0491"/>
    <x v="264"/>
    <x v="3"/>
    <s v="Furniture"/>
    <s v="Cabinet"/>
    <x v="3"/>
    <n v="30"/>
    <n v="1069"/>
    <n v="32070"/>
    <n v="236"/>
    <n v="8"/>
    <s v="Delayed"/>
    <x v="0"/>
    <n v="6414"/>
  </r>
  <r>
    <s v="ORD0492"/>
    <x v="265"/>
    <x v="0"/>
    <s v="Office Supplies"/>
    <s v="Marker"/>
    <x v="2"/>
    <n v="10"/>
    <n v="969"/>
    <n v="9690"/>
    <n v="218"/>
    <n v="7"/>
    <s v="Delayed"/>
    <x v="0"/>
    <n v="1938"/>
  </r>
  <r>
    <s v="ORD0493"/>
    <x v="115"/>
    <x v="0"/>
    <s v="Office Supplies"/>
    <s v="Printer Paper"/>
    <x v="0"/>
    <n v="37"/>
    <n v="3892"/>
    <n v="144004"/>
    <n v="15"/>
    <n v="2"/>
    <s v="On Time"/>
    <x v="1"/>
    <n v="28800.800000000003"/>
  </r>
  <r>
    <s v="ORD0494"/>
    <x v="76"/>
    <x v="1"/>
    <s v="Office Supplies"/>
    <s v="File Folder"/>
    <x v="0"/>
    <n v="28"/>
    <n v="3601"/>
    <n v="100828"/>
    <n v="159"/>
    <n v="4"/>
    <s v="On Time"/>
    <x v="0"/>
    <n v="20165.600000000002"/>
  </r>
  <r>
    <s v="ORD0495"/>
    <x v="53"/>
    <x v="0"/>
    <s v="Furniture"/>
    <s v="Chair"/>
    <x v="2"/>
    <n v="34"/>
    <n v="3519"/>
    <n v="119646"/>
    <n v="133"/>
    <n v="8"/>
    <s v="Delayed"/>
    <x v="0"/>
    <n v="23929.200000000001"/>
  </r>
  <r>
    <s v="ORD0496"/>
    <x v="152"/>
    <x v="3"/>
    <s v="Furniture"/>
    <s v="Table"/>
    <x v="1"/>
    <n v="31"/>
    <n v="822"/>
    <n v="25482"/>
    <n v="224"/>
    <n v="6"/>
    <s v="Delayed"/>
    <x v="0"/>
    <n v="5096.4000000000005"/>
  </r>
  <r>
    <s v="ORD0497"/>
    <x v="218"/>
    <x v="1"/>
    <s v="Office Supplies"/>
    <s v="Printer Paper"/>
    <x v="1"/>
    <n v="14"/>
    <n v="3062"/>
    <n v="42868"/>
    <n v="271"/>
    <n v="2"/>
    <s v="On Time"/>
    <x v="0"/>
    <n v="8573.6"/>
  </r>
  <r>
    <s v="ORD0498"/>
    <x v="235"/>
    <x v="3"/>
    <s v="Electronics"/>
    <s v="Laptop"/>
    <x v="0"/>
    <n v="47"/>
    <n v="3409"/>
    <n v="160223"/>
    <n v="31"/>
    <n v="7"/>
    <s v="Delayed"/>
    <x v="1"/>
    <n v="32044.600000000002"/>
  </r>
  <r>
    <s v="ORD0499"/>
    <x v="262"/>
    <x v="3"/>
    <s v="Electronics"/>
    <s v="Monitor"/>
    <x v="2"/>
    <n v="19"/>
    <n v="4160"/>
    <n v="79040"/>
    <n v="47"/>
    <n v="5"/>
    <s v="On Time"/>
    <x v="1"/>
    <n v="15808"/>
  </r>
  <r>
    <s v="ORD0500"/>
    <x v="58"/>
    <x v="3"/>
    <s v="Electronics"/>
    <s v="Keyboard"/>
    <x v="2"/>
    <n v="13"/>
    <n v="2326"/>
    <n v="30238"/>
    <n v="11"/>
    <n v="6"/>
    <s v="Delayed"/>
    <x v="1"/>
    <n v="6047.6"/>
  </r>
  <r>
    <s v="ORD0501"/>
    <x v="266"/>
    <x v="2"/>
    <s v="Electronics"/>
    <s v="Mouse"/>
    <x v="0"/>
    <n v="3"/>
    <n v="3570"/>
    <n v="10710"/>
    <n v="209"/>
    <n v="2"/>
    <s v="On Time"/>
    <x v="0"/>
    <n v="2142"/>
  </r>
  <r>
    <s v="ORD0502"/>
    <x v="251"/>
    <x v="0"/>
    <s v="Furniture"/>
    <s v="Chair"/>
    <x v="2"/>
    <n v="31"/>
    <n v="859"/>
    <n v="26629"/>
    <n v="228"/>
    <n v="9"/>
    <s v="Delayed"/>
    <x v="0"/>
    <n v="5325.8"/>
  </r>
  <r>
    <s v="ORD0503"/>
    <x v="267"/>
    <x v="1"/>
    <s v="Apparel"/>
    <s v="Hoodie"/>
    <x v="3"/>
    <n v="4"/>
    <n v="2892"/>
    <n v="11568"/>
    <n v="96"/>
    <n v="3"/>
    <s v="On Time"/>
    <x v="0"/>
    <n v="2313.6"/>
  </r>
  <r>
    <s v="ORD0504"/>
    <x v="64"/>
    <x v="3"/>
    <s v="Apparel"/>
    <s v="Cap"/>
    <x v="3"/>
    <n v="11"/>
    <n v="1430"/>
    <n v="15730"/>
    <n v="247"/>
    <n v="9"/>
    <s v="Delayed"/>
    <x v="0"/>
    <n v="3146"/>
  </r>
  <r>
    <s v="ORD0505"/>
    <x v="50"/>
    <x v="2"/>
    <s v="Furniture"/>
    <s v="Table"/>
    <x v="2"/>
    <n v="46"/>
    <n v="4343"/>
    <n v="199778"/>
    <n v="220"/>
    <n v="6"/>
    <s v="Delayed"/>
    <x v="0"/>
    <n v="39955.600000000006"/>
  </r>
  <r>
    <s v="ORD0506"/>
    <x v="268"/>
    <x v="0"/>
    <s v="Furniture"/>
    <s v="Cabinet"/>
    <x v="2"/>
    <n v="46"/>
    <n v="3752"/>
    <n v="172592"/>
    <n v="188"/>
    <n v="7"/>
    <s v="Delayed"/>
    <x v="0"/>
    <n v="34518.400000000001"/>
  </r>
  <r>
    <s v="ORD0507"/>
    <x v="46"/>
    <x v="0"/>
    <s v="Furniture"/>
    <s v="Table"/>
    <x v="0"/>
    <n v="34"/>
    <n v="2884"/>
    <n v="98056"/>
    <n v="271"/>
    <n v="9"/>
    <s v="Delayed"/>
    <x v="0"/>
    <n v="19611.2"/>
  </r>
  <r>
    <s v="ORD0508"/>
    <x v="256"/>
    <x v="0"/>
    <s v="Furniture"/>
    <s v="Cabinet"/>
    <x v="3"/>
    <n v="11"/>
    <n v="4404"/>
    <n v="48444"/>
    <n v="191"/>
    <n v="6"/>
    <s v="Delayed"/>
    <x v="0"/>
    <n v="9688.8000000000011"/>
  </r>
  <r>
    <s v="ORD0509"/>
    <x v="53"/>
    <x v="3"/>
    <s v="Apparel"/>
    <s v="Jacket"/>
    <x v="1"/>
    <n v="22"/>
    <n v="772"/>
    <n v="16984"/>
    <n v="266"/>
    <n v="7"/>
    <s v="Delayed"/>
    <x v="0"/>
    <n v="3396.8"/>
  </r>
  <r>
    <s v="ORD0510"/>
    <x v="50"/>
    <x v="0"/>
    <s v="Electronics"/>
    <s v="Keyboard"/>
    <x v="3"/>
    <n v="25"/>
    <n v="4915"/>
    <n v="122875"/>
    <n v="54"/>
    <n v="5"/>
    <s v="On Time"/>
    <x v="0"/>
    <n v="24575"/>
  </r>
  <r>
    <s v="ORD0511"/>
    <x v="50"/>
    <x v="0"/>
    <s v="Furniture"/>
    <s v="Chair"/>
    <x v="3"/>
    <n v="7"/>
    <n v="4280"/>
    <n v="29960"/>
    <n v="70"/>
    <n v="2"/>
    <s v="On Time"/>
    <x v="0"/>
    <n v="5992"/>
  </r>
  <r>
    <s v="ORD0512"/>
    <x v="187"/>
    <x v="1"/>
    <s v="Apparel"/>
    <s v="T-Shirt"/>
    <x v="2"/>
    <n v="20"/>
    <n v="3330"/>
    <n v="66600"/>
    <n v="44"/>
    <n v="5"/>
    <s v="On Time"/>
    <x v="1"/>
    <n v="13320"/>
  </r>
  <r>
    <s v="ORD0513"/>
    <x v="176"/>
    <x v="3"/>
    <s v="Apparel"/>
    <s v="T-Shirt"/>
    <x v="0"/>
    <n v="42"/>
    <n v="4207"/>
    <n v="176694"/>
    <n v="54"/>
    <n v="9"/>
    <s v="Delayed"/>
    <x v="0"/>
    <n v="35338.800000000003"/>
  </r>
  <r>
    <s v="ORD0514"/>
    <x v="96"/>
    <x v="1"/>
    <s v="Apparel"/>
    <s v="Jacket"/>
    <x v="3"/>
    <n v="50"/>
    <n v="1816"/>
    <n v="90800"/>
    <n v="154"/>
    <n v="4"/>
    <s v="On Time"/>
    <x v="0"/>
    <n v="18160"/>
  </r>
  <r>
    <s v="ORD0515"/>
    <x v="269"/>
    <x v="0"/>
    <s v="Electronics"/>
    <s v="Keyboard"/>
    <x v="2"/>
    <n v="15"/>
    <n v="4231"/>
    <n v="63465"/>
    <n v="266"/>
    <n v="5"/>
    <s v="On Time"/>
    <x v="0"/>
    <n v="12693"/>
  </r>
  <r>
    <s v="ORD0516"/>
    <x v="270"/>
    <x v="3"/>
    <s v="Furniture"/>
    <s v="Cabinet"/>
    <x v="1"/>
    <n v="7"/>
    <n v="1504"/>
    <n v="10528"/>
    <n v="154"/>
    <n v="5"/>
    <s v="On Time"/>
    <x v="0"/>
    <n v="2105.6"/>
  </r>
  <r>
    <s v="ORD0517"/>
    <x v="217"/>
    <x v="2"/>
    <s v="Apparel"/>
    <s v="Hoodie"/>
    <x v="3"/>
    <n v="4"/>
    <n v="2604"/>
    <n v="10416"/>
    <n v="229"/>
    <n v="3"/>
    <s v="On Time"/>
    <x v="0"/>
    <n v="2083.2000000000003"/>
  </r>
  <r>
    <s v="ORD0518"/>
    <x v="160"/>
    <x v="2"/>
    <s v="Electronics"/>
    <s v="Laptop"/>
    <x v="0"/>
    <n v="7"/>
    <n v="556"/>
    <n v="3892"/>
    <n v="120"/>
    <n v="2"/>
    <s v="On Time"/>
    <x v="0"/>
    <n v="778.40000000000009"/>
  </r>
  <r>
    <s v="ORD0519"/>
    <x v="46"/>
    <x v="1"/>
    <s v="Furniture"/>
    <s v="Chair"/>
    <x v="1"/>
    <n v="8"/>
    <n v="732"/>
    <n v="5856"/>
    <n v="39"/>
    <n v="5"/>
    <s v="On Time"/>
    <x v="1"/>
    <n v="1171.2"/>
  </r>
  <r>
    <s v="ORD0520"/>
    <x v="212"/>
    <x v="3"/>
    <s v="Apparel"/>
    <s v="Hoodie"/>
    <x v="3"/>
    <n v="27"/>
    <n v="3725"/>
    <n v="100575"/>
    <n v="82"/>
    <n v="10"/>
    <s v="Delayed"/>
    <x v="0"/>
    <n v="20115"/>
  </r>
  <r>
    <s v="ORD0521"/>
    <x v="41"/>
    <x v="0"/>
    <s v="Electronics"/>
    <s v="Keyboard"/>
    <x v="2"/>
    <n v="2"/>
    <n v="659"/>
    <n v="1318"/>
    <n v="208"/>
    <n v="7"/>
    <s v="Delayed"/>
    <x v="0"/>
    <n v="263.60000000000002"/>
  </r>
  <r>
    <s v="ORD0522"/>
    <x v="213"/>
    <x v="2"/>
    <s v="Electronics"/>
    <s v="Keyboard"/>
    <x v="2"/>
    <n v="24"/>
    <n v="3386"/>
    <n v="81264"/>
    <n v="61"/>
    <n v="7"/>
    <s v="Delayed"/>
    <x v="0"/>
    <n v="16252.800000000001"/>
  </r>
  <r>
    <s v="ORD0523"/>
    <x v="4"/>
    <x v="2"/>
    <s v="Furniture"/>
    <s v="Table"/>
    <x v="0"/>
    <n v="12"/>
    <n v="3654"/>
    <n v="43848"/>
    <n v="90"/>
    <n v="6"/>
    <s v="Delayed"/>
    <x v="0"/>
    <n v="8769.6"/>
  </r>
  <r>
    <s v="ORD0524"/>
    <x v="271"/>
    <x v="1"/>
    <s v="Furniture"/>
    <s v="Chair"/>
    <x v="2"/>
    <n v="40"/>
    <n v="4139"/>
    <n v="165560"/>
    <n v="273"/>
    <n v="3"/>
    <s v="On Time"/>
    <x v="0"/>
    <n v="33112"/>
  </r>
  <r>
    <s v="ORD0525"/>
    <x v="127"/>
    <x v="1"/>
    <s v="Apparel"/>
    <s v="Jacket"/>
    <x v="2"/>
    <n v="16"/>
    <n v="4913"/>
    <n v="78608"/>
    <n v="206"/>
    <n v="9"/>
    <s v="Delayed"/>
    <x v="0"/>
    <n v="15721.6"/>
  </r>
  <r>
    <s v="ORD0526"/>
    <x v="171"/>
    <x v="3"/>
    <s v="Office Supplies"/>
    <s v="Printer Paper"/>
    <x v="0"/>
    <n v="49"/>
    <n v="2255"/>
    <n v="110495"/>
    <n v="238"/>
    <n v="9"/>
    <s v="Delayed"/>
    <x v="0"/>
    <n v="22099"/>
  </r>
  <r>
    <s v="ORD0527"/>
    <x v="112"/>
    <x v="2"/>
    <s v="Furniture"/>
    <s v="Cabinet"/>
    <x v="1"/>
    <n v="48"/>
    <n v="829"/>
    <n v="39792"/>
    <n v="135"/>
    <n v="6"/>
    <s v="Delayed"/>
    <x v="0"/>
    <n v="7958.4000000000005"/>
  </r>
  <r>
    <s v="ORD0528"/>
    <x v="124"/>
    <x v="0"/>
    <s v="Furniture"/>
    <s v="Chair"/>
    <x v="1"/>
    <n v="10"/>
    <n v="563"/>
    <n v="5630"/>
    <n v="86"/>
    <n v="4"/>
    <s v="On Time"/>
    <x v="0"/>
    <n v="1126"/>
  </r>
  <r>
    <s v="ORD0529"/>
    <x v="197"/>
    <x v="3"/>
    <s v="Furniture"/>
    <s v="Desk"/>
    <x v="1"/>
    <n v="34"/>
    <n v="1900"/>
    <n v="64600"/>
    <n v="85"/>
    <n v="5"/>
    <s v="On Time"/>
    <x v="0"/>
    <n v="12920"/>
  </r>
  <r>
    <s v="ORD0530"/>
    <x v="136"/>
    <x v="3"/>
    <s v="Apparel"/>
    <s v="T-Shirt"/>
    <x v="2"/>
    <n v="19"/>
    <n v="4878"/>
    <n v="92682"/>
    <n v="172"/>
    <n v="5"/>
    <s v="On Time"/>
    <x v="0"/>
    <n v="18536.400000000001"/>
  </r>
  <r>
    <s v="ORD0531"/>
    <x v="272"/>
    <x v="2"/>
    <s v="Apparel"/>
    <s v="Hoodie"/>
    <x v="0"/>
    <n v="17"/>
    <n v="3193"/>
    <n v="54281"/>
    <n v="277"/>
    <n v="7"/>
    <s v="Delayed"/>
    <x v="0"/>
    <n v="10856.2"/>
  </r>
  <r>
    <s v="ORD0532"/>
    <x v="160"/>
    <x v="1"/>
    <s v="Furniture"/>
    <s v="Table"/>
    <x v="2"/>
    <n v="40"/>
    <n v="1388"/>
    <n v="55520"/>
    <n v="271"/>
    <n v="5"/>
    <s v="On Time"/>
    <x v="0"/>
    <n v="11104"/>
  </r>
  <r>
    <s v="ORD0533"/>
    <x v="31"/>
    <x v="2"/>
    <s v="Office Supplies"/>
    <s v="Marker"/>
    <x v="0"/>
    <n v="34"/>
    <n v="3413"/>
    <n v="116042"/>
    <n v="46"/>
    <n v="5"/>
    <s v="On Time"/>
    <x v="1"/>
    <n v="23208.400000000001"/>
  </r>
  <r>
    <s v="ORD0534"/>
    <x v="1"/>
    <x v="1"/>
    <s v="Office Supplies"/>
    <s v="Notebook"/>
    <x v="2"/>
    <n v="41"/>
    <n v="2971"/>
    <n v="121811"/>
    <n v="110"/>
    <n v="6"/>
    <s v="Delayed"/>
    <x v="0"/>
    <n v="24362.2"/>
  </r>
  <r>
    <s v="ORD0535"/>
    <x v="164"/>
    <x v="1"/>
    <s v="Office Supplies"/>
    <s v="Marker"/>
    <x v="3"/>
    <n v="40"/>
    <n v="4817"/>
    <n v="192680"/>
    <n v="19"/>
    <n v="5"/>
    <s v="On Time"/>
    <x v="1"/>
    <n v="38536"/>
  </r>
  <r>
    <s v="ORD0536"/>
    <x v="56"/>
    <x v="2"/>
    <s v="Apparel"/>
    <s v="T-Shirt"/>
    <x v="0"/>
    <n v="39"/>
    <n v="3069"/>
    <n v="119691"/>
    <n v="257"/>
    <n v="5"/>
    <s v="On Time"/>
    <x v="0"/>
    <n v="23938.2"/>
  </r>
  <r>
    <s v="ORD0537"/>
    <x v="273"/>
    <x v="3"/>
    <s v="Furniture"/>
    <s v="Cabinet"/>
    <x v="3"/>
    <n v="14"/>
    <n v="1332"/>
    <n v="18648"/>
    <n v="288"/>
    <n v="3"/>
    <s v="On Time"/>
    <x v="0"/>
    <n v="3729.6000000000004"/>
  </r>
  <r>
    <s v="ORD0538"/>
    <x v="250"/>
    <x v="3"/>
    <s v="Furniture"/>
    <s v="Cabinet"/>
    <x v="3"/>
    <n v="27"/>
    <n v="3292"/>
    <n v="88884"/>
    <n v="33"/>
    <n v="5"/>
    <s v="On Time"/>
    <x v="1"/>
    <n v="17776.8"/>
  </r>
  <r>
    <s v="ORD0539"/>
    <x v="274"/>
    <x v="0"/>
    <s v="Furniture"/>
    <s v="Table"/>
    <x v="1"/>
    <n v="20"/>
    <n v="3575"/>
    <n v="71500"/>
    <n v="254"/>
    <n v="9"/>
    <s v="Delayed"/>
    <x v="0"/>
    <n v="14300"/>
  </r>
  <r>
    <s v="ORD0540"/>
    <x v="189"/>
    <x v="3"/>
    <s v="Electronics"/>
    <s v="Monitor"/>
    <x v="2"/>
    <n v="17"/>
    <n v="4028"/>
    <n v="68476"/>
    <n v="224"/>
    <n v="6"/>
    <s v="Delayed"/>
    <x v="0"/>
    <n v="13695.2"/>
  </r>
  <r>
    <s v="ORD0541"/>
    <x v="201"/>
    <x v="3"/>
    <s v="Electronics"/>
    <s v="Monitor"/>
    <x v="0"/>
    <n v="34"/>
    <n v="3142"/>
    <n v="106828"/>
    <n v="263"/>
    <n v="2"/>
    <s v="On Time"/>
    <x v="0"/>
    <n v="21365.600000000002"/>
  </r>
  <r>
    <s v="ORD0542"/>
    <x v="275"/>
    <x v="0"/>
    <s v="Apparel"/>
    <s v="Hoodie"/>
    <x v="1"/>
    <n v="44"/>
    <n v="3607"/>
    <n v="158708"/>
    <n v="255"/>
    <n v="9"/>
    <s v="Delayed"/>
    <x v="0"/>
    <n v="31741.600000000002"/>
  </r>
  <r>
    <s v="ORD0543"/>
    <x v="276"/>
    <x v="3"/>
    <s v="Office Supplies"/>
    <s v="Marker"/>
    <x v="0"/>
    <n v="46"/>
    <n v="4245"/>
    <n v="195270"/>
    <n v="86"/>
    <n v="9"/>
    <s v="Delayed"/>
    <x v="0"/>
    <n v="39054"/>
  </r>
  <r>
    <s v="ORD0544"/>
    <x v="87"/>
    <x v="0"/>
    <s v="Electronics"/>
    <s v="Laptop"/>
    <x v="1"/>
    <n v="2"/>
    <n v="1580"/>
    <n v="3160"/>
    <n v="82"/>
    <n v="4"/>
    <s v="On Time"/>
    <x v="0"/>
    <n v="632"/>
  </r>
  <r>
    <s v="ORD0545"/>
    <x v="277"/>
    <x v="2"/>
    <s v="Furniture"/>
    <s v="Cabinet"/>
    <x v="3"/>
    <n v="28"/>
    <n v="1645"/>
    <n v="46060"/>
    <n v="56"/>
    <n v="5"/>
    <s v="On Time"/>
    <x v="0"/>
    <n v="9212"/>
  </r>
  <r>
    <s v="ORD0546"/>
    <x v="190"/>
    <x v="1"/>
    <s v="Furniture"/>
    <s v="Table"/>
    <x v="0"/>
    <n v="38"/>
    <n v="1157"/>
    <n v="43966"/>
    <n v="294"/>
    <n v="7"/>
    <s v="Delayed"/>
    <x v="0"/>
    <n v="8793.2000000000007"/>
  </r>
  <r>
    <s v="ORD0547"/>
    <x v="252"/>
    <x v="3"/>
    <s v="Furniture"/>
    <s v="Chair"/>
    <x v="0"/>
    <n v="40"/>
    <n v="1614"/>
    <n v="64560"/>
    <n v="249"/>
    <n v="4"/>
    <s v="On Time"/>
    <x v="0"/>
    <n v="12912"/>
  </r>
  <r>
    <s v="ORD0548"/>
    <x v="278"/>
    <x v="0"/>
    <s v="Office Supplies"/>
    <s v="File Folder"/>
    <x v="2"/>
    <n v="45"/>
    <n v="4191"/>
    <n v="188595"/>
    <n v="59"/>
    <n v="2"/>
    <s v="On Time"/>
    <x v="0"/>
    <n v="37719"/>
  </r>
  <r>
    <s v="ORD0549"/>
    <x v="279"/>
    <x v="1"/>
    <s v="Electronics"/>
    <s v="Monitor"/>
    <x v="1"/>
    <n v="36"/>
    <n v="2325"/>
    <n v="83700"/>
    <n v="17"/>
    <n v="8"/>
    <s v="Delayed"/>
    <x v="1"/>
    <n v="16740"/>
  </r>
  <r>
    <s v="ORD0550"/>
    <x v="198"/>
    <x v="3"/>
    <s v="Electronics"/>
    <s v="Monitor"/>
    <x v="1"/>
    <n v="45"/>
    <n v="4444"/>
    <n v="199980"/>
    <n v="203"/>
    <n v="8"/>
    <s v="Delayed"/>
    <x v="0"/>
    <n v="39996"/>
  </r>
  <r>
    <s v="ORD0551"/>
    <x v="184"/>
    <x v="0"/>
    <s v="Office Supplies"/>
    <s v="File Folder"/>
    <x v="2"/>
    <n v="6"/>
    <n v="3458"/>
    <n v="20748"/>
    <n v="135"/>
    <n v="4"/>
    <s v="On Time"/>
    <x v="0"/>
    <n v="4149.6000000000004"/>
  </r>
  <r>
    <s v="ORD0552"/>
    <x v="64"/>
    <x v="1"/>
    <s v="Office Supplies"/>
    <s v="Notebook"/>
    <x v="2"/>
    <n v="21"/>
    <n v="4504"/>
    <n v="94584"/>
    <n v="72"/>
    <n v="9"/>
    <s v="Delayed"/>
    <x v="0"/>
    <n v="18916.8"/>
  </r>
  <r>
    <s v="ORD0553"/>
    <x v="15"/>
    <x v="3"/>
    <s v="Apparel"/>
    <s v="Cap"/>
    <x v="0"/>
    <n v="24"/>
    <n v="1890"/>
    <n v="45360"/>
    <n v="53"/>
    <n v="10"/>
    <s v="Delayed"/>
    <x v="0"/>
    <n v="9072"/>
  </r>
  <r>
    <s v="ORD0554"/>
    <x v="0"/>
    <x v="1"/>
    <s v="Electronics"/>
    <s v="Mouse"/>
    <x v="1"/>
    <n v="43"/>
    <n v="4707"/>
    <n v="202401"/>
    <n v="273"/>
    <n v="9"/>
    <s v="Delayed"/>
    <x v="0"/>
    <n v="40480.200000000004"/>
  </r>
  <r>
    <s v="ORD0555"/>
    <x v="152"/>
    <x v="0"/>
    <s v="Furniture"/>
    <s v="Desk"/>
    <x v="1"/>
    <n v="46"/>
    <n v="595"/>
    <n v="27370"/>
    <n v="289"/>
    <n v="6"/>
    <s v="Delayed"/>
    <x v="0"/>
    <n v="5474"/>
  </r>
  <r>
    <s v="ORD0556"/>
    <x v="280"/>
    <x v="2"/>
    <s v="Furniture"/>
    <s v="Desk"/>
    <x v="1"/>
    <n v="44"/>
    <n v="2327"/>
    <n v="102388"/>
    <n v="198"/>
    <n v="10"/>
    <s v="Delayed"/>
    <x v="0"/>
    <n v="20477.600000000002"/>
  </r>
  <r>
    <s v="ORD0557"/>
    <x v="174"/>
    <x v="2"/>
    <s v="Furniture"/>
    <s v="Cabinet"/>
    <x v="0"/>
    <n v="35"/>
    <n v="3857"/>
    <n v="134995"/>
    <n v="272"/>
    <n v="5"/>
    <s v="On Time"/>
    <x v="0"/>
    <n v="26999"/>
  </r>
  <r>
    <s v="ORD0558"/>
    <x v="94"/>
    <x v="2"/>
    <s v="Office Supplies"/>
    <s v="Notebook"/>
    <x v="0"/>
    <n v="16"/>
    <n v="2961"/>
    <n v="47376"/>
    <n v="255"/>
    <n v="3"/>
    <s v="On Time"/>
    <x v="0"/>
    <n v="9475.2000000000007"/>
  </r>
  <r>
    <s v="ORD0559"/>
    <x v="281"/>
    <x v="1"/>
    <s v="Office Supplies"/>
    <s v="Notebook"/>
    <x v="3"/>
    <n v="45"/>
    <n v="2013"/>
    <n v="90585"/>
    <n v="96"/>
    <n v="5"/>
    <s v="On Time"/>
    <x v="0"/>
    <n v="18117"/>
  </r>
  <r>
    <s v="ORD0560"/>
    <x v="228"/>
    <x v="1"/>
    <s v="Office Supplies"/>
    <s v="Notebook"/>
    <x v="0"/>
    <n v="22"/>
    <n v="906"/>
    <n v="19932"/>
    <n v="273"/>
    <n v="6"/>
    <s v="Delayed"/>
    <x v="0"/>
    <n v="3986.4"/>
  </r>
  <r>
    <s v="ORD0561"/>
    <x v="175"/>
    <x v="2"/>
    <s v="Apparel"/>
    <s v="Jacket"/>
    <x v="2"/>
    <n v="15"/>
    <n v="2031"/>
    <n v="30465"/>
    <n v="133"/>
    <n v="3"/>
    <s v="On Time"/>
    <x v="0"/>
    <n v="6093"/>
  </r>
  <r>
    <s v="ORD0562"/>
    <x v="164"/>
    <x v="0"/>
    <s v="Apparel"/>
    <s v="Jacket"/>
    <x v="2"/>
    <n v="47"/>
    <n v="1351"/>
    <n v="63497"/>
    <n v="227"/>
    <n v="7"/>
    <s v="Delayed"/>
    <x v="0"/>
    <n v="12699.400000000001"/>
  </r>
  <r>
    <s v="ORD0563"/>
    <x v="282"/>
    <x v="2"/>
    <s v="Office Supplies"/>
    <s v="File Folder"/>
    <x v="0"/>
    <n v="33"/>
    <n v="1535"/>
    <n v="50655"/>
    <n v="271"/>
    <n v="5"/>
    <s v="On Time"/>
    <x v="0"/>
    <n v="10131"/>
  </r>
  <r>
    <s v="ORD0564"/>
    <x v="283"/>
    <x v="0"/>
    <s v="Electronics"/>
    <s v="Mouse"/>
    <x v="0"/>
    <n v="11"/>
    <n v="1668"/>
    <n v="18348"/>
    <n v="179"/>
    <n v="10"/>
    <s v="Delayed"/>
    <x v="0"/>
    <n v="3669.6000000000004"/>
  </r>
  <r>
    <s v="ORD0565"/>
    <x v="190"/>
    <x v="1"/>
    <s v="Furniture"/>
    <s v="Table"/>
    <x v="0"/>
    <n v="29"/>
    <n v="2528"/>
    <n v="73312"/>
    <n v="287"/>
    <n v="2"/>
    <s v="On Time"/>
    <x v="0"/>
    <n v="14662.400000000001"/>
  </r>
  <r>
    <s v="ORD0566"/>
    <x v="212"/>
    <x v="0"/>
    <s v="Apparel"/>
    <s v="Cap"/>
    <x v="2"/>
    <n v="16"/>
    <n v="4526"/>
    <n v="72416"/>
    <n v="143"/>
    <n v="3"/>
    <s v="On Time"/>
    <x v="0"/>
    <n v="14483.2"/>
  </r>
  <r>
    <s v="ORD0567"/>
    <x v="284"/>
    <x v="1"/>
    <s v="Apparel"/>
    <s v="Jacket"/>
    <x v="3"/>
    <n v="25"/>
    <n v="4594"/>
    <n v="114850"/>
    <n v="247"/>
    <n v="4"/>
    <s v="On Time"/>
    <x v="0"/>
    <n v="22970"/>
  </r>
  <r>
    <s v="ORD0568"/>
    <x v="45"/>
    <x v="1"/>
    <s v="Apparel"/>
    <s v="Jacket"/>
    <x v="1"/>
    <n v="50"/>
    <n v="1097"/>
    <n v="54850"/>
    <n v="166"/>
    <n v="8"/>
    <s v="Delayed"/>
    <x v="0"/>
    <n v="10970"/>
  </r>
  <r>
    <s v="ORD0569"/>
    <x v="135"/>
    <x v="0"/>
    <s v="Office Supplies"/>
    <s v="Marker"/>
    <x v="1"/>
    <n v="21"/>
    <n v="2410"/>
    <n v="50610"/>
    <n v="168"/>
    <n v="5"/>
    <s v="On Time"/>
    <x v="0"/>
    <n v="10122"/>
  </r>
  <r>
    <s v="ORD0570"/>
    <x v="285"/>
    <x v="3"/>
    <s v="Apparel"/>
    <s v="Cap"/>
    <x v="2"/>
    <n v="40"/>
    <n v="4018"/>
    <n v="160720"/>
    <n v="266"/>
    <n v="4"/>
    <s v="On Time"/>
    <x v="0"/>
    <n v="32144"/>
  </r>
  <r>
    <s v="ORD0571"/>
    <x v="98"/>
    <x v="2"/>
    <s v="Office Supplies"/>
    <s v="Marker"/>
    <x v="1"/>
    <n v="18"/>
    <n v="2227"/>
    <n v="40086"/>
    <n v="190"/>
    <n v="3"/>
    <s v="On Time"/>
    <x v="0"/>
    <n v="8017.2000000000007"/>
  </r>
  <r>
    <s v="ORD0572"/>
    <x v="126"/>
    <x v="1"/>
    <s v="Apparel"/>
    <s v="Cap"/>
    <x v="3"/>
    <n v="25"/>
    <n v="3064"/>
    <n v="76600"/>
    <n v="16"/>
    <n v="10"/>
    <s v="Delayed"/>
    <x v="1"/>
    <n v="15320"/>
  </r>
  <r>
    <s v="ORD0573"/>
    <x v="71"/>
    <x v="1"/>
    <s v="Office Supplies"/>
    <s v="Marker"/>
    <x v="0"/>
    <n v="26"/>
    <n v="4477"/>
    <n v="116402"/>
    <n v="100"/>
    <n v="5"/>
    <s v="On Time"/>
    <x v="0"/>
    <n v="23280.400000000001"/>
  </r>
  <r>
    <s v="ORD0574"/>
    <x v="90"/>
    <x v="3"/>
    <s v="Apparel"/>
    <s v="Jacket"/>
    <x v="3"/>
    <n v="20"/>
    <n v="4063"/>
    <n v="81260"/>
    <n v="190"/>
    <n v="5"/>
    <s v="On Time"/>
    <x v="0"/>
    <n v="16252"/>
  </r>
  <r>
    <s v="ORD0575"/>
    <x v="286"/>
    <x v="0"/>
    <s v="Furniture"/>
    <s v="Cabinet"/>
    <x v="2"/>
    <n v="32"/>
    <n v="964"/>
    <n v="30848"/>
    <n v="108"/>
    <n v="9"/>
    <s v="Delayed"/>
    <x v="0"/>
    <n v="6169.6"/>
  </r>
  <r>
    <s v="ORD0576"/>
    <x v="108"/>
    <x v="0"/>
    <s v="Apparel"/>
    <s v="Hoodie"/>
    <x v="1"/>
    <n v="21"/>
    <n v="3370"/>
    <n v="70770"/>
    <n v="184"/>
    <n v="6"/>
    <s v="Delayed"/>
    <x v="0"/>
    <n v="14154"/>
  </r>
  <r>
    <s v="ORD0577"/>
    <x v="26"/>
    <x v="1"/>
    <s v="Furniture"/>
    <s v="Chair"/>
    <x v="0"/>
    <n v="34"/>
    <n v="1284"/>
    <n v="43656"/>
    <n v="186"/>
    <n v="3"/>
    <s v="On Time"/>
    <x v="0"/>
    <n v="8731.2000000000007"/>
  </r>
  <r>
    <s v="ORD0578"/>
    <x v="82"/>
    <x v="0"/>
    <s v="Furniture"/>
    <s v="Chair"/>
    <x v="0"/>
    <n v="17"/>
    <n v="4894"/>
    <n v="83198"/>
    <n v="126"/>
    <n v="3"/>
    <s v="On Time"/>
    <x v="0"/>
    <n v="16639.600000000002"/>
  </r>
  <r>
    <s v="ORD0579"/>
    <x v="287"/>
    <x v="1"/>
    <s v="Apparel"/>
    <s v="Hoodie"/>
    <x v="1"/>
    <n v="13"/>
    <n v="1284"/>
    <n v="16692"/>
    <n v="279"/>
    <n v="9"/>
    <s v="Delayed"/>
    <x v="0"/>
    <n v="3338.4"/>
  </r>
  <r>
    <s v="ORD0580"/>
    <x v="288"/>
    <x v="2"/>
    <s v="Apparel"/>
    <s v="Cap"/>
    <x v="3"/>
    <n v="17"/>
    <n v="3475"/>
    <n v="59075"/>
    <n v="91"/>
    <n v="4"/>
    <s v="On Time"/>
    <x v="0"/>
    <n v="11815"/>
  </r>
  <r>
    <s v="ORD0581"/>
    <x v="289"/>
    <x v="2"/>
    <s v="Office Supplies"/>
    <s v="Notebook"/>
    <x v="3"/>
    <n v="43"/>
    <n v="2370"/>
    <n v="101910"/>
    <n v="200"/>
    <n v="6"/>
    <s v="Delayed"/>
    <x v="0"/>
    <n v="20382"/>
  </r>
  <r>
    <s v="ORD0582"/>
    <x v="59"/>
    <x v="2"/>
    <s v="Electronics"/>
    <s v="Laptop"/>
    <x v="2"/>
    <n v="44"/>
    <n v="723"/>
    <n v="31812"/>
    <n v="25"/>
    <n v="4"/>
    <s v="On Time"/>
    <x v="1"/>
    <n v="6362.4000000000005"/>
  </r>
  <r>
    <s v="ORD0583"/>
    <x v="146"/>
    <x v="1"/>
    <s v="Furniture"/>
    <s v="Desk"/>
    <x v="3"/>
    <n v="23"/>
    <n v="4545"/>
    <n v="104535"/>
    <n v="221"/>
    <n v="6"/>
    <s v="Delayed"/>
    <x v="0"/>
    <n v="20907"/>
  </r>
  <r>
    <s v="ORD0584"/>
    <x v="234"/>
    <x v="1"/>
    <s v="Apparel"/>
    <s v="T-Shirt"/>
    <x v="1"/>
    <n v="49"/>
    <n v="4388"/>
    <n v="215012"/>
    <n v="272"/>
    <n v="9"/>
    <s v="Delayed"/>
    <x v="0"/>
    <n v="43002.400000000001"/>
  </r>
  <r>
    <s v="ORD0585"/>
    <x v="290"/>
    <x v="1"/>
    <s v="Office Supplies"/>
    <s v="Notebook"/>
    <x v="1"/>
    <n v="26"/>
    <n v="4423"/>
    <n v="114998"/>
    <n v="49"/>
    <n v="4"/>
    <s v="On Time"/>
    <x v="1"/>
    <n v="22999.600000000002"/>
  </r>
  <r>
    <s v="ORD0586"/>
    <x v="128"/>
    <x v="2"/>
    <s v="Electronics"/>
    <s v="Monitor"/>
    <x v="0"/>
    <n v="24"/>
    <n v="581"/>
    <n v="13944"/>
    <n v="188"/>
    <n v="4"/>
    <s v="On Time"/>
    <x v="0"/>
    <n v="2788.8"/>
  </r>
  <r>
    <s v="ORD0587"/>
    <x v="9"/>
    <x v="2"/>
    <s v="Furniture"/>
    <s v="Table"/>
    <x v="0"/>
    <n v="22"/>
    <n v="1306"/>
    <n v="28732"/>
    <n v="218"/>
    <n v="10"/>
    <s v="Delayed"/>
    <x v="0"/>
    <n v="5746.4000000000005"/>
  </r>
  <r>
    <s v="ORD0588"/>
    <x v="271"/>
    <x v="1"/>
    <s v="Electronics"/>
    <s v="Laptop"/>
    <x v="1"/>
    <n v="28"/>
    <n v="4830"/>
    <n v="135240"/>
    <n v="222"/>
    <n v="3"/>
    <s v="On Time"/>
    <x v="0"/>
    <n v="27048"/>
  </r>
  <r>
    <s v="ORD0589"/>
    <x v="71"/>
    <x v="1"/>
    <s v="Electronics"/>
    <s v="Mouse"/>
    <x v="1"/>
    <n v="3"/>
    <n v="596"/>
    <n v="1788"/>
    <n v="137"/>
    <n v="7"/>
    <s v="Delayed"/>
    <x v="0"/>
    <n v="357.6"/>
  </r>
  <r>
    <s v="ORD0590"/>
    <x v="164"/>
    <x v="2"/>
    <s v="Furniture"/>
    <s v="Desk"/>
    <x v="3"/>
    <n v="1"/>
    <n v="1957"/>
    <n v="1957"/>
    <n v="172"/>
    <n v="6"/>
    <s v="Delayed"/>
    <x v="0"/>
    <n v="391.40000000000003"/>
  </r>
  <r>
    <s v="ORD0591"/>
    <x v="68"/>
    <x v="3"/>
    <s v="Electronics"/>
    <s v="Laptop"/>
    <x v="1"/>
    <n v="25"/>
    <n v="2166"/>
    <n v="54150"/>
    <n v="92"/>
    <n v="8"/>
    <s v="Delayed"/>
    <x v="0"/>
    <n v="10830"/>
  </r>
  <r>
    <s v="ORD0592"/>
    <x v="44"/>
    <x v="3"/>
    <s v="Furniture"/>
    <s v="Table"/>
    <x v="1"/>
    <n v="30"/>
    <n v="2888"/>
    <n v="86640"/>
    <n v="124"/>
    <n v="10"/>
    <s v="Delayed"/>
    <x v="0"/>
    <n v="17328"/>
  </r>
  <r>
    <s v="ORD0593"/>
    <x v="291"/>
    <x v="1"/>
    <s v="Furniture"/>
    <s v="Cabinet"/>
    <x v="2"/>
    <n v="34"/>
    <n v="817"/>
    <n v="27778"/>
    <n v="80"/>
    <n v="7"/>
    <s v="Delayed"/>
    <x v="0"/>
    <n v="5555.6"/>
  </r>
  <r>
    <s v="ORD0594"/>
    <x v="91"/>
    <x v="0"/>
    <s v="Apparel"/>
    <s v="Hoodie"/>
    <x v="1"/>
    <n v="8"/>
    <n v="2724"/>
    <n v="21792"/>
    <n v="123"/>
    <n v="7"/>
    <s v="Delayed"/>
    <x v="0"/>
    <n v="4358.4000000000005"/>
  </r>
  <r>
    <s v="ORD0595"/>
    <x v="71"/>
    <x v="0"/>
    <s v="Apparel"/>
    <s v="Hoodie"/>
    <x v="1"/>
    <n v="40"/>
    <n v="521"/>
    <n v="20840"/>
    <n v="175"/>
    <n v="7"/>
    <s v="Delayed"/>
    <x v="0"/>
    <n v="4168"/>
  </r>
  <r>
    <s v="ORD0596"/>
    <x v="65"/>
    <x v="3"/>
    <s v="Electronics"/>
    <s v="Keyboard"/>
    <x v="2"/>
    <n v="38"/>
    <n v="531"/>
    <n v="20178"/>
    <n v="61"/>
    <n v="9"/>
    <s v="Delayed"/>
    <x v="0"/>
    <n v="4035.6000000000004"/>
  </r>
  <r>
    <s v="ORD0597"/>
    <x v="96"/>
    <x v="3"/>
    <s v="Electronics"/>
    <s v="Monitor"/>
    <x v="1"/>
    <n v="27"/>
    <n v="4038"/>
    <n v="109026"/>
    <n v="209"/>
    <n v="3"/>
    <s v="On Time"/>
    <x v="0"/>
    <n v="21805.200000000001"/>
  </r>
  <r>
    <s v="ORD0598"/>
    <x v="32"/>
    <x v="3"/>
    <s v="Apparel"/>
    <s v="Cap"/>
    <x v="3"/>
    <n v="41"/>
    <n v="3821"/>
    <n v="156661"/>
    <n v="58"/>
    <n v="4"/>
    <s v="On Time"/>
    <x v="0"/>
    <n v="31332.2"/>
  </r>
  <r>
    <s v="ORD0599"/>
    <x v="292"/>
    <x v="1"/>
    <s v="Apparel"/>
    <s v="Jacket"/>
    <x v="0"/>
    <n v="11"/>
    <n v="1762"/>
    <n v="19382"/>
    <n v="174"/>
    <n v="8"/>
    <s v="Delayed"/>
    <x v="0"/>
    <n v="3876.4"/>
  </r>
  <r>
    <s v="ORD0600"/>
    <x v="207"/>
    <x v="3"/>
    <s v="Apparel"/>
    <s v="Jacket"/>
    <x v="3"/>
    <n v="22"/>
    <n v="1083"/>
    <n v="23826"/>
    <n v="12"/>
    <n v="3"/>
    <s v="On Time"/>
    <x v="1"/>
    <n v="4765.2"/>
  </r>
  <r>
    <s v="ORD0601"/>
    <x v="144"/>
    <x v="3"/>
    <s v="Apparel"/>
    <s v="Jacket"/>
    <x v="3"/>
    <n v="14"/>
    <n v="4864"/>
    <n v="68096"/>
    <n v="196"/>
    <n v="5"/>
    <s v="On Time"/>
    <x v="0"/>
    <n v="13619.2"/>
  </r>
  <r>
    <s v="ORD0602"/>
    <x v="293"/>
    <x v="0"/>
    <s v="Office Supplies"/>
    <s v="Marker"/>
    <x v="2"/>
    <n v="23"/>
    <n v="3045"/>
    <n v="70035"/>
    <n v="296"/>
    <n v="6"/>
    <s v="Delayed"/>
    <x v="0"/>
    <n v="14007"/>
  </r>
  <r>
    <s v="ORD0603"/>
    <x v="134"/>
    <x v="0"/>
    <s v="Electronics"/>
    <s v="Monitor"/>
    <x v="3"/>
    <n v="7"/>
    <n v="4078"/>
    <n v="28546"/>
    <n v="34"/>
    <n v="5"/>
    <s v="On Time"/>
    <x v="1"/>
    <n v="5709.2000000000007"/>
  </r>
  <r>
    <s v="ORD0604"/>
    <x v="294"/>
    <x v="2"/>
    <s v="Apparel"/>
    <s v="Hoodie"/>
    <x v="3"/>
    <n v="17"/>
    <n v="4321"/>
    <n v="73457"/>
    <n v="79"/>
    <n v="5"/>
    <s v="On Time"/>
    <x v="0"/>
    <n v="14691.400000000001"/>
  </r>
  <r>
    <s v="ORD0605"/>
    <x v="250"/>
    <x v="0"/>
    <s v="Apparel"/>
    <s v="Cap"/>
    <x v="0"/>
    <n v="29"/>
    <n v="3994"/>
    <n v="115826"/>
    <n v="247"/>
    <n v="5"/>
    <s v="On Time"/>
    <x v="0"/>
    <n v="23165.200000000001"/>
  </r>
  <r>
    <s v="ORD0606"/>
    <x v="3"/>
    <x v="3"/>
    <s v="Apparel"/>
    <s v="Jacket"/>
    <x v="1"/>
    <n v="47"/>
    <n v="561"/>
    <n v="26367"/>
    <n v="83"/>
    <n v="10"/>
    <s v="Delayed"/>
    <x v="0"/>
    <n v="5273.4000000000005"/>
  </r>
  <r>
    <s v="ORD0607"/>
    <x v="295"/>
    <x v="3"/>
    <s v="Furniture"/>
    <s v="Cabinet"/>
    <x v="2"/>
    <n v="33"/>
    <n v="1044"/>
    <n v="34452"/>
    <n v="244"/>
    <n v="9"/>
    <s v="Delayed"/>
    <x v="0"/>
    <n v="6890.4000000000005"/>
  </r>
  <r>
    <s v="ORD0608"/>
    <x v="28"/>
    <x v="0"/>
    <s v="Apparel"/>
    <s v="Cap"/>
    <x v="1"/>
    <n v="31"/>
    <n v="952"/>
    <n v="29512"/>
    <n v="188"/>
    <n v="8"/>
    <s v="Delayed"/>
    <x v="0"/>
    <n v="5902.4000000000005"/>
  </r>
  <r>
    <s v="ORD0609"/>
    <x v="158"/>
    <x v="1"/>
    <s v="Electronics"/>
    <s v="Mouse"/>
    <x v="3"/>
    <n v="28"/>
    <n v="3677"/>
    <n v="102956"/>
    <n v="114"/>
    <n v="4"/>
    <s v="On Time"/>
    <x v="0"/>
    <n v="20591.2"/>
  </r>
  <r>
    <s v="ORD0610"/>
    <x v="23"/>
    <x v="1"/>
    <s v="Apparel"/>
    <s v="Jacket"/>
    <x v="1"/>
    <n v="3"/>
    <n v="4022"/>
    <n v="12066"/>
    <n v="166"/>
    <n v="10"/>
    <s v="Delayed"/>
    <x v="0"/>
    <n v="2413.2000000000003"/>
  </r>
  <r>
    <s v="ORD0611"/>
    <x v="296"/>
    <x v="3"/>
    <s v="Apparel"/>
    <s v="Jacket"/>
    <x v="3"/>
    <n v="25"/>
    <n v="4953"/>
    <n v="123825"/>
    <n v="280"/>
    <n v="6"/>
    <s v="Delayed"/>
    <x v="0"/>
    <n v="24765"/>
  </r>
  <r>
    <s v="ORD0612"/>
    <x v="297"/>
    <x v="0"/>
    <s v="Office Supplies"/>
    <s v="File Folder"/>
    <x v="1"/>
    <n v="20"/>
    <n v="2732"/>
    <n v="54640"/>
    <n v="118"/>
    <n v="3"/>
    <s v="On Time"/>
    <x v="0"/>
    <n v="10928"/>
  </r>
  <r>
    <s v="ORD0613"/>
    <x v="185"/>
    <x v="2"/>
    <s v="Furniture"/>
    <s v="Chair"/>
    <x v="2"/>
    <n v="19"/>
    <n v="619"/>
    <n v="11761"/>
    <n v="132"/>
    <n v="4"/>
    <s v="On Time"/>
    <x v="0"/>
    <n v="2352.2000000000003"/>
  </r>
  <r>
    <s v="ORD0614"/>
    <x v="219"/>
    <x v="2"/>
    <s v="Office Supplies"/>
    <s v="File Folder"/>
    <x v="1"/>
    <n v="23"/>
    <n v="1218"/>
    <n v="28014"/>
    <n v="240"/>
    <n v="2"/>
    <s v="On Time"/>
    <x v="0"/>
    <n v="5602.8"/>
  </r>
  <r>
    <s v="ORD0615"/>
    <x v="20"/>
    <x v="0"/>
    <s v="Electronics"/>
    <s v="Laptop"/>
    <x v="3"/>
    <n v="34"/>
    <n v="807"/>
    <n v="27438"/>
    <n v="299"/>
    <n v="2"/>
    <s v="On Time"/>
    <x v="0"/>
    <n v="5487.6"/>
  </r>
  <r>
    <s v="ORD0616"/>
    <x v="69"/>
    <x v="2"/>
    <s v="Furniture"/>
    <s v="Desk"/>
    <x v="3"/>
    <n v="29"/>
    <n v="2563"/>
    <n v="74327"/>
    <n v="188"/>
    <n v="6"/>
    <s v="Delayed"/>
    <x v="0"/>
    <n v="14865.400000000001"/>
  </r>
  <r>
    <s v="ORD0617"/>
    <x v="113"/>
    <x v="0"/>
    <s v="Furniture"/>
    <s v="Table"/>
    <x v="3"/>
    <n v="4"/>
    <n v="3526"/>
    <n v="14104"/>
    <n v="75"/>
    <n v="4"/>
    <s v="On Time"/>
    <x v="0"/>
    <n v="2820.8"/>
  </r>
  <r>
    <s v="ORD0618"/>
    <x v="159"/>
    <x v="1"/>
    <s v="Electronics"/>
    <s v="Monitor"/>
    <x v="1"/>
    <n v="1"/>
    <n v="1106"/>
    <n v="1106"/>
    <n v="55"/>
    <n v="9"/>
    <s v="Delayed"/>
    <x v="0"/>
    <n v="221.20000000000002"/>
  </r>
  <r>
    <s v="ORD0619"/>
    <x v="201"/>
    <x v="1"/>
    <s v="Electronics"/>
    <s v="Monitor"/>
    <x v="2"/>
    <n v="20"/>
    <n v="3685"/>
    <n v="73700"/>
    <n v="129"/>
    <n v="3"/>
    <s v="On Time"/>
    <x v="0"/>
    <n v="14740"/>
  </r>
  <r>
    <s v="ORD0620"/>
    <x v="39"/>
    <x v="2"/>
    <s v="Electronics"/>
    <s v="Keyboard"/>
    <x v="2"/>
    <n v="11"/>
    <n v="3848"/>
    <n v="42328"/>
    <n v="167"/>
    <n v="9"/>
    <s v="Delayed"/>
    <x v="0"/>
    <n v="8465.6"/>
  </r>
  <r>
    <s v="ORD0621"/>
    <x v="126"/>
    <x v="0"/>
    <s v="Electronics"/>
    <s v="Mouse"/>
    <x v="0"/>
    <n v="3"/>
    <n v="4147"/>
    <n v="12441"/>
    <n v="259"/>
    <n v="3"/>
    <s v="On Time"/>
    <x v="0"/>
    <n v="2488.2000000000003"/>
  </r>
  <r>
    <s v="ORD0622"/>
    <x v="123"/>
    <x v="1"/>
    <s v="Furniture"/>
    <s v="Desk"/>
    <x v="2"/>
    <n v="50"/>
    <n v="4494"/>
    <n v="224700"/>
    <n v="295"/>
    <n v="9"/>
    <s v="Delayed"/>
    <x v="0"/>
    <n v="44940"/>
  </r>
  <r>
    <s v="ORD0623"/>
    <x v="33"/>
    <x v="0"/>
    <s v="Apparel"/>
    <s v="Cap"/>
    <x v="2"/>
    <n v="7"/>
    <n v="3054"/>
    <n v="21378"/>
    <n v="181"/>
    <n v="2"/>
    <s v="On Time"/>
    <x v="0"/>
    <n v="4275.6000000000004"/>
  </r>
  <r>
    <s v="ORD0624"/>
    <x v="57"/>
    <x v="2"/>
    <s v="Furniture"/>
    <s v="Desk"/>
    <x v="0"/>
    <n v="6"/>
    <n v="626"/>
    <n v="3756"/>
    <n v="72"/>
    <n v="10"/>
    <s v="Delayed"/>
    <x v="0"/>
    <n v="751.2"/>
  </r>
  <r>
    <s v="ORD0625"/>
    <x v="96"/>
    <x v="0"/>
    <s v="Furniture"/>
    <s v="Table"/>
    <x v="0"/>
    <n v="40"/>
    <n v="1990"/>
    <n v="79600"/>
    <n v="184"/>
    <n v="7"/>
    <s v="Delayed"/>
    <x v="0"/>
    <n v="15920"/>
  </r>
  <r>
    <s v="ORD0626"/>
    <x v="100"/>
    <x v="1"/>
    <s v="Office Supplies"/>
    <s v="Marker"/>
    <x v="2"/>
    <n v="42"/>
    <n v="2014"/>
    <n v="84588"/>
    <n v="152"/>
    <n v="4"/>
    <s v="On Time"/>
    <x v="0"/>
    <n v="16917.600000000002"/>
  </r>
  <r>
    <s v="ORD0627"/>
    <x v="242"/>
    <x v="0"/>
    <s v="Apparel"/>
    <s v="Hoodie"/>
    <x v="3"/>
    <n v="30"/>
    <n v="4243"/>
    <n v="127290"/>
    <n v="58"/>
    <n v="3"/>
    <s v="On Time"/>
    <x v="0"/>
    <n v="25458"/>
  </r>
  <r>
    <s v="ORD0628"/>
    <x v="298"/>
    <x v="2"/>
    <s v="Electronics"/>
    <s v="Laptop"/>
    <x v="0"/>
    <n v="35"/>
    <n v="4774"/>
    <n v="167090"/>
    <n v="140"/>
    <n v="9"/>
    <s v="Delayed"/>
    <x v="0"/>
    <n v="33418"/>
  </r>
  <r>
    <s v="ORD0629"/>
    <x v="112"/>
    <x v="1"/>
    <s v="Furniture"/>
    <s v="Chair"/>
    <x v="0"/>
    <n v="33"/>
    <n v="2922"/>
    <n v="96426"/>
    <n v="75"/>
    <n v="2"/>
    <s v="On Time"/>
    <x v="0"/>
    <n v="19285.2"/>
  </r>
  <r>
    <s v="ORD0630"/>
    <x v="299"/>
    <x v="3"/>
    <s v="Office Supplies"/>
    <s v="Marker"/>
    <x v="0"/>
    <n v="24"/>
    <n v="3931"/>
    <n v="94344"/>
    <n v="42"/>
    <n v="8"/>
    <s v="Delayed"/>
    <x v="1"/>
    <n v="18868.8"/>
  </r>
  <r>
    <s v="ORD0631"/>
    <x v="52"/>
    <x v="1"/>
    <s v="Furniture"/>
    <s v="Chair"/>
    <x v="1"/>
    <n v="19"/>
    <n v="3101"/>
    <n v="58919"/>
    <n v="115"/>
    <n v="3"/>
    <s v="On Time"/>
    <x v="0"/>
    <n v="11783.800000000001"/>
  </r>
  <r>
    <s v="ORD0632"/>
    <x v="191"/>
    <x v="0"/>
    <s v="Apparel"/>
    <s v="Jacket"/>
    <x v="2"/>
    <n v="17"/>
    <n v="3848"/>
    <n v="65416"/>
    <n v="218"/>
    <n v="6"/>
    <s v="Delayed"/>
    <x v="0"/>
    <n v="13083.2"/>
  </r>
  <r>
    <s v="ORD0633"/>
    <x v="300"/>
    <x v="2"/>
    <s v="Electronics"/>
    <s v="Monitor"/>
    <x v="2"/>
    <n v="49"/>
    <n v="1900"/>
    <n v="93100"/>
    <n v="276"/>
    <n v="2"/>
    <s v="On Time"/>
    <x v="0"/>
    <n v="18620"/>
  </r>
  <r>
    <s v="ORD0634"/>
    <x v="82"/>
    <x v="3"/>
    <s v="Apparel"/>
    <s v="Hoodie"/>
    <x v="3"/>
    <n v="44"/>
    <n v="2182"/>
    <n v="96008"/>
    <n v="48"/>
    <n v="2"/>
    <s v="On Time"/>
    <x v="1"/>
    <n v="19201.600000000002"/>
  </r>
  <r>
    <s v="ORD0635"/>
    <x v="59"/>
    <x v="1"/>
    <s v="Apparel"/>
    <s v="Jacket"/>
    <x v="1"/>
    <n v="25"/>
    <n v="3553"/>
    <n v="88825"/>
    <n v="121"/>
    <n v="5"/>
    <s v="On Time"/>
    <x v="0"/>
    <n v="17765"/>
  </r>
  <r>
    <s v="ORD0636"/>
    <x v="301"/>
    <x v="3"/>
    <s v="Office Supplies"/>
    <s v="File Folder"/>
    <x v="1"/>
    <n v="38"/>
    <n v="2572"/>
    <n v="97736"/>
    <n v="181"/>
    <n v="8"/>
    <s v="Delayed"/>
    <x v="0"/>
    <n v="19547.2"/>
  </r>
  <r>
    <s v="ORD0637"/>
    <x v="239"/>
    <x v="1"/>
    <s v="Electronics"/>
    <s v="Monitor"/>
    <x v="1"/>
    <n v="33"/>
    <n v="2819"/>
    <n v="93027"/>
    <n v="128"/>
    <n v="4"/>
    <s v="On Time"/>
    <x v="0"/>
    <n v="18605.400000000001"/>
  </r>
  <r>
    <s v="ORD0638"/>
    <x v="56"/>
    <x v="3"/>
    <s v="Furniture"/>
    <s v="Table"/>
    <x v="3"/>
    <n v="13"/>
    <n v="3897"/>
    <n v="50661"/>
    <n v="167"/>
    <n v="9"/>
    <s v="Delayed"/>
    <x v="0"/>
    <n v="10132.200000000001"/>
  </r>
  <r>
    <s v="ORD0639"/>
    <x v="259"/>
    <x v="1"/>
    <s v="Office Supplies"/>
    <s v="Marker"/>
    <x v="0"/>
    <n v="46"/>
    <n v="2631"/>
    <n v="121026"/>
    <n v="11"/>
    <n v="9"/>
    <s v="Delayed"/>
    <x v="1"/>
    <n v="24205.200000000001"/>
  </r>
  <r>
    <s v="ORD0640"/>
    <x v="238"/>
    <x v="3"/>
    <s v="Furniture"/>
    <s v="Table"/>
    <x v="2"/>
    <n v="27"/>
    <n v="3649"/>
    <n v="98523"/>
    <n v="162"/>
    <n v="2"/>
    <s v="On Time"/>
    <x v="0"/>
    <n v="19704.600000000002"/>
  </r>
  <r>
    <s v="ORD0641"/>
    <x v="289"/>
    <x v="2"/>
    <s v="Electronics"/>
    <s v="Mouse"/>
    <x v="0"/>
    <n v="10"/>
    <n v="3260"/>
    <n v="32600"/>
    <n v="88"/>
    <n v="6"/>
    <s v="Delayed"/>
    <x v="0"/>
    <n v="6520"/>
  </r>
  <r>
    <s v="ORD0642"/>
    <x v="302"/>
    <x v="3"/>
    <s v="Electronics"/>
    <s v="Laptop"/>
    <x v="0"/>
    <n v="19"/>
    <n v="3909"/>
    <n v="74271"/>
    <n v="30"/>
    <n v="6"/>
    <s v="Delayed"/>
    <x v="1"/>
    <n v="14854.2"/>
  </r>
  <r>
    <s v="ORD0643"/>
    <x v="110"/>
    <x v="2"/>
    <s v="Apparel"/>
    <s v="T-Shirt"/>
    <x v="0"/>
    <n v="31"/>
    <n v="2655"/>
    <n v="82305"/>
    <n v="130"/>
    <n v="2"/>
    <s v="On Time"/>
    <x v="0"/>
    <n v="16461"/>
  </r>
  <r>
    <s v="ORD0644"/>
    <x v="65"/>
    <x v="2"/>
    <s v="Furniture"/>
    <s v="Cabinet"/>
    <x v="1"/>
    <n v="45"/>
    <n v="650"/>
    <n v="29250"/>
    <n v="230"/>
    <n v="8"/>
    <s v="Delayed"/>
    <x v="0"/>
    <n v="5850"/>
  </r>
  <r>
    <s v="ORD0645"/>
    <x v="162"/>
    <x v="0"/>
    <s v="Furniture"/>
    <s v="Desk"/>
    <x v="1"/>
    <n v="45"/>
    <n v="4865"/>
    <n v="218925"/>
    <n v="159"/>
    <n v="2"/>
    <s v="On Time"/>
    <x v="0"/>
    <n v="43785"/>
  </r>
  <r>
    <s v="ORD0646"/>
    <x v="156"/>
    <x v="0"/>
    <s v="Office Supplies"/>
    <s v="File Folder"/>
    <x v="0"/>
    <n v="34"/>
    <n v="4348"/>
    <n v="147832"/>
    <n v="20"/>
    <n v="6"/>
    <s v="Delayed"/>
    <x v="1"/>
    <n v="29566.400000000001"/>
  </r>
  <r>
    <s v="ORD0647"/>
    <x v="278"/>
    <x v="3"/>
    <s v="Furniture"/>
    <s v="Cabinet"/>
    <x v="3"/>
    <n v="4"/>
    <n v="4148"/>
    <n v="16592"/>
    <n v="112"/>
    <n v="3"/>
    <s v="On Time"/>
    <x v="0"/>
    <n v="3318.4"/>
  </r>
  <r>
    <s v="ORD0648"/>
    <x v="56"/>
    <x v="3"/>
    <s v="Apparel"/>
    <s v="Hoodie"/>
    <x v="0"/>
    <n v="44"/>
    <n v="4679"/>
    <n v="205876"/>
    <n v="178"/>
    <n v="3"/>
    <s v="On Time"/>
    <x v="0"/>
    <n v="41175.200000000004"/>
  </r>
  <r>
    <s v="ORD0649"/>
    <x v="303"/>
    <x v="0"/>
    <s v="Electronics"/>
    <s v="Laptop"/>
    <x v="0"/>
    <n v="21"/>
    <n v="3545"/>
    <n v="74445"/>
    <n v="138"/>
    <n v="4"/>
    <s v="On Time"/>
    <x v="0"/>
    <n v="14889"/>
  </r>
  <r>
    <s v="ORD0650"/>
    <x v="182"/>
    <x v="0"/>
    <s v="Office Supplies"/>
    <s v="Notebook"/>
    <x v="1"/>
    <n v="41"/>
    <n v="3908"/>
    <n v="160228"/>
    <n v="234"/>
    <n v="8"/>
    <s v="Delayed"/>
    <x v="0"/>
    <n v="32045.600000000002"/>
  </r>
  <r>
    <s v="ORD0651"/>
    <x v="260"/>
    <x v="2"/>
    <s v="Furniture"/>
    <s v="Desk"/>
    <x v="3"/>
    <n v="12"/>
    <n v="4046"/>
    <n v="48552"/>
    <n v="246"/>
    <n v="5"/>
    <s v="On Time"/>
    <x v="0"/>
    <n v="9710.4"/>
  </r>
  <r>
    <s v="ORD0652"/>
    <x v="58"/>
    <x v="2"/>
    <s v="Electronics"/>
    <s v="Keyboard"/>
    <x v="0"/>
    <n v="30"/>
    <n v="2332"/>
    <n v="69960"/>
    <n v="67"/>
    <n v="4"/>
    <s v="On Time"/>
    <x v="0"/>
    <n v="13992"/>
  </r>
  <r>
    <s v="ORD0653"/>
    <x v="304"/>
    <x v="2"/>
    <s v="Office Supplies"/>
    <s v="File Folder"/>
    <x v="1"/>
    <n v="34"/>
    <n v="4320"/>
    <n v="146880"/>
    <n v="92"/>
    <n v="10"/>
    <s v="Delayed"/>
    <x v="0"/>
    <n v="29376"/>
  </r>
  <r>
    <s v="ORD0654"/>
    <x v="201"/>
    <x v="3"/>
    <s v="Apparel"/>
    <s v="Hoodie"/>
    <x v="3"/>
    <n v="16"/>
    <n v="2515"/>
    <n v="40240"/>
    <n v="50"/>
    <n v="7"/>
    <s v="Delayed"/>
    <x v="0"/>
    <n v="8048"/>
  </r>
  <r>
    <s v="ORD0655"/>
    <x v="34"/>
    <x v="1"/>
    <s v="Furniture"/>
    <s v="Desk"/>
    <x v="3"/>
    <n v="1"/>
    <n v="590"/>
    <n v="590"/>
    <n v="37"/>
    <n v="3"/>
    <s v="On Time"/>
    <x v="1"/>
    <n v="118"/>
  </r>
  <r>
    <s v="ORD0656"/>
    <x v="229"/>
    <x v="3"/>
    <s v="Apparel"/>
    <s v="Cap"/>
    <x v="1"/>
    <n v="38"/>
    <n v="4291"/>
    <n v="163058"/>
    <n v="103"/>
    <n v="3"/>
    <s v="On Time"/>
    <x v="0"/>
    <n v="32611.600000000002"/>
  </r>
  <r>
    <s v="ORD0657"/>
    <x v="66"/>
    <x v="1"/>
    <s v="Office Supplies"/>
    <s v="Notebook"/>
    <x v="0"/>
    <n v="33"/>
    <n v="3018"/>
    <n v="99594"/>
    <n v="96"/>
    <n v="8"/>
    <s v="Delayed"/>
    <x v="0"/>
    <n v="19918.800000000003"/>
  </r>
  <r>
    <s v="ORD0658"/>
    <x v="207"/>
    <x v="0"/>
    <s v="Office Supplies"/>
    <s v="Marker"/>
    <x v="1"/>
    <n v="24"/>
    <n v="3410"/>
    <n v="81840"/>
    <n v="71"/>
    <n v="2"/>
    <s v="On Time"/>
    <x v="0"/>
    <n v="16368"/>
  </r>
  <r>
    <s v="ORD0659"/>
    <x v="136"/>
    <x v="3"/>
    <s v="Office Supplies"/>
    <s v="Printer Paper"/>
    <x v="3"/>
    <n v="15"/>
    <n v="3684"/>
    <n v="55260"/>
    <n v="54"/>
    <n v="6"/>
    <s v="Delayed"/>
    <x v="0"/>
    <n v="11052"/>
  </r>
  <r>
    <s v="ORD0660"/>
    <x v="206"/>
    <x v="3"/>
    <s v="Furniture"/>
    <s v="Chair"/>
    <x v="3"/>
    <n v="41"/>
    <n v="3031"/>
    <n v="124271"/>
    <n v="135"/>
    <n v="6"/>
    <s v="Delayed"/>
    <x v="0"/>
    <n v="24854.2"/>
  </r>
  <r>
    <s v="ORD0661"/>
    <x v="207"/>
    <x v="1"/>
    <s v="Electronics"/>
    <s v="Laptop"/>
    <x v="3"/>
    <n v="18"/>
    <n v="4096"/>
    <n v="73728"/>
    <n v="86"/>
    <n v="2"/>
    <s v="On Time"/>
    <x v="0"/>
    <n v="14745.6"/>
  </r>
  <r>
    <s v="ORD0662"/>
    <x v="185"/>
    <x v="3"/>
    <s v="Office Supplies"/>
    <s v="File Folder"/>
    <x v="2"/>
    <n v="20"/>
    <n v="2813"/>
    <n v="56260"/>
    <n v="93"/>
    <n v="10"/>
    <s v="Delayed"/>
    <x v="0"/>
    <n v="11252"/>
  </r>
  <r>
    <s v="ORD0663"/>
    <x v="305"/>
    <x v="3"/>
    <s v="Office Supplies"/>
    <s v="Notebook"/>
    <x v="3"/>
    <n v="28"/>
    <n v="1396"/>
    <n v="39088"/>
    <n v="138"/>
    <n v="10"/>
    <s v="Delayed"/>
    <x v="0"/>
    <n v="7817.6"/>
  </r>
  <r>
    <s v="ORD0664"/>
    <x v="65"/>
    <x v="0"/>
    <s v="Furniture"/>
    <s v="Table"/>
    <x v="0"/>
    <n v="21"/>
    <n v="4340"/>
    <n v="91140"/>
    <n v="140"/>
    <n v="8"/>
    <s v="Delayed"/>
    <x v="0"/>
    <n v="18228"/>
  </r>
  <r>
    <s v="ORD0665"/>
    <x v="135"/>
    <x v="1"/>
    <s v="Electronics"/>
    <s v="Mouse"/>
    <x v="3"/>
    <n v="35"/>
    <n v="1818"/>
    <n v="63630"/>
    <n v="82"/>
    <n v="4"/>
    <s v="On Time"/>
    <x v="0"/>
    <n v="12726"/>
  </r>
  <r>
    <s v="ORD0666"/>
    <x v="295"/>
    <x v="1"/>
    <s v="Electronics"/>
    <s v="Mouse"/>
    <x v="0"/>
    <n v="44"/>
    <n v="1922"/>
    <n v="84568"/>
    <n v="181"/>
    <n v="8"/>
    <s v="Delayed"/>
    <x v="0"/>
    <n v="16913.600000000002"/>
  </r>
  <r>
    <s v="ORD0667"/>
    <x v="127"/>
    <x v="3"/>
    <s v="Electronics"/>
    <s v="Laptop"/>
    <x v="1"/>
    <n v="22"/>
    <n v="2514"/>
    <n v="55308"/>
    <n v="91"/>
    <n v="7"/>
    <s v="Delayed"/>
    <x v="0"/>
    <n v="11061.6"/>
  </r>
  <r>
    <s v="ORD0668"/>
    <x v="180"/>
    <x v="3"/>
    <s v="Electronics"/>
    <s v="Keyboard"/>
    <x v="2"/>
    <n v="26"/>
    <n v="2728"/>
    <n v="70928"/>
    <n v="96"/>
    <n v="6"/>
    <s v="Delayed"/>
    <x v="0"/>
    <n v="14185.6"/>
  </r>
  <r>
    <s v="ORD0669"/>
    <x v="67"/>
    <x v="3"/>
    <s v="Apparel"/>
    <s v="Cap"/>
    <x v="2"/>
    <n v="37"/>
    <n v="3486"/>
    <n v="128982"/>
    <n v="60"/>
    <n v="2"/>
    <s v="On Time"/>
    <x v="0"/>
    <n v="25796.400000000001"/>
  </r>
  <r>
    <s v="ORD0670"/>
    <x v="101"/>
    <x v="3"/>
    <s v="Electronics"/>
    <s v="Monitor"/>
    <x v="3"/>
    <n v="1"/>
    <n v="3325"/>
    <n v="3325"/>
    <n v="73"/>
    <n v="10"/>
    <s v="Delayed"/>
    <x v="0"/>
    <n v="665"/>
  </r>
  <r>
    <s v="ORD0671"/>
    <x v="306"/>
    <x v="0"/>
    <s v="Apparel"/>
    <s v="Cap"/>
    <x v="0"/>
    <n v="42"/>
    <n v="1882"/>
    <n v="79044"/>
    <n v="192"/>
    <n v="5"/>
    <s v="On Time"/>
    <x v="0"/>
    <n v="15808.800000000001"/>
  </r>
  <r>
    <s v="ORD0672"/>
    <x v="242"/>
    <x v="2"/>
    <s v="Office Supplies"/>
    <s v="Printer Paper"/>
    <x v="1"/>
    <n v="6"/>
    <n v="1634"/>
    <n v="9804"/>
    <n v="15"/>
    <n v="4"/>
    <s v="On Time"/>
    <x v="1"/>
    <n v="1960.8000000000002"/>
  </r>
  <r>
    <s v="ORD0673"/>
    <x v="69"/>
    <x v="0"/>
    <s v="Office Supplies"/>
    <s v="Notebook"/>
    <x v="2"/>
    <n v="7"/>
    <n v="3392"/>
    <n v="23744"/>
    <n v="156"/>
    <n v="10"/>
    <s v="Delayed"/>
    <x v="0"/>
    <n v="4748.8"/>
  </r>
  <r>
    <s v="ORD0674"/>
    <x v="52"/>
    <x v="0"/>
    <s v="Furniture"/>
    <s v="Chair"/>
    <x v="1"/>
    <n v="9"/>
    <n v="656"/>
    <n v="5904"/>
    <n v="267"/>
    <n v="10"/>
    <s v="Delayed"/>
    <x v="0"/>
    <n v="1180.8"/>
  </r>
  <r>
    <s v="ORD0675"/>
    <x v="238"/>
    <x v="0"/>
    <s v="Apparel"/>
    <s v="Hoodie"/>
    <x v="3"/>
    <n v="29"/>
    <n v="575"/>
    <n v="16675"/>
    <n v="161"/>
    <n v="6"/>
    <s v="Delayed"/>
    <x v="0"/>
    <n v="3335"/>
  </r>
  <r>
    <s v="ORD0676"/>
    <x v="307"/>
    <x v="3"/>
    <s v="Electronics"/>
    <s v="Mouse"/>
    <x v="0"/>
    <n v="2"/>
    <n v="2255"/>
    <n v="4510"/>
    <n v="63"/>
    <n v="3"/>
    <s v="On Time"/>
    <x v="0"/>
    <n v="902"/>
  </r>
  <r>
    <s v="ORD0677"/>
    <x v="308"/>
    <x v="3"/>
    <s v="Furniture"/>
    <s v="Chair"/>
    <x v="3"/>
    <n v="34"/>
    <n v="1949"/>
    <n v="66266"/>
    <n v="144"/>
    <n v="9"/>
    <s v="Delayed"/>
    <x v="0"/>
    <n v="13253.2"/>
  </r>
  <r>
    <s v="ORD0678"/>
    <x v="61"/>
    <x v="1"/>
    <s v="Office Supplies"/>
    <s v="File Folder"/>
    <x v="0"/>
    <n v="34"/>
    <n v="1762"/>
    <n v="59908"/>
    <n v="188"/>
    <n v="9"/>
    <s v="Delayed"/>
    <x v="0"/>
    <n v="11981.6"/>
  </r>
  <r>
    <s v="ORD0679"/>
    <x v="73"/>
    <x v="1"/>
    <s v="Electronics"/>
    <s v="Monitor"/>
    <x v="2"/>
    <n v="24"/>
    <n v="1779"/>
    <n v="42696"/>
    <n v="186"/>
    <n v="8"/>
    <s v="Delayed"/>
    <x v="0"/>
    <n v="8539.2000000000007"/>
  </r>
  <r>
    <s v="ORD0680"/>
    <x v="199"/>
    <x v="3"/>
    <s v="Electronics"/>
    <s v="Mouse"/>
    <x v="1"/>
    <n v="26"/>
    <n v="2593"/>
    <n v="67418"/>
    <n v="117"/>
    <n v="4"/>
    <s v="On Time"/>
    <x v="0"/>
    <n v="13483.6"/>
  </r>
  <r>
    <s v="ORD0681"/>
    <x v="265"/>
    <x v="0"/>
    <s v="Furniture"/>
    <s v="Chair"/>
    <x v="2"/>
    <n v="16"/>
    <n v="4548"/>
    <n v="72768"/>
    <n v="221"/>
    <n v="5"/>
    <s v="On Time"/>
    <x v="0"/>
    <n v="14553.6"/>
  </r>
  <r>
    <s v="ORD0682"/>
    <x v="32"/>
    <x v="2"/>
    <s v="Electronics"/>
    <s v="Laptop"/>
    <x v="0"/>
    <n v="16"/>
    <n v="4429"/>
    <n v="70864"/>
    <n v="33"/>
    <n v="3"/>
    <s v="On Time"/>
    <x v="1"/>
    <n v="14172.800000000001"/>
  </r>
  <r>
    <s v="ORD0683"/>
    <x v="137"/>
    <x v="0"/>
    <s v="Electronics"/>
    <s v="Laptop"/>
    <x v="2"/>
    <n v="25"/>
    <n v="3123"/>
    <n v="78075"/>
    <n v="202"/>
    <n v="3"/>
    <s v="On Time"/>
    <x v="0"/>
    <n v="15615"/>
  </r>
  <r>
    <s v="ORD0684"/>
    <x v="106"/>
    <x v="2"/>
    <s v="Apparel"/>
    <s v="Jacket"/>
    <x v="3"/>
    <n v="48"/>
    <n v="1889"/>
    <n v="90672"/>
    <n v="100"/>
    <n v="7"/>
    <s v="Delayed"/>
    <x v="0"/>
    <n v="18134.400000000001"/>
  </r>
  <r>
    <s v="ORD0685"/>
    <x v="79"/>
    <x v="2"/>
    <s v="Electronics"/>
    <s v="Monitor"/>
    <x v="2"/>
    <n v="17"/>
    <n v="3974"/>
    <n v="67558"/>
    <n v="175"/>
    <n v="8"/>
    <s v="Delayed"/>
    <x v="0"/>
    <n v="13511.6"/>
  </r>
  <r>
    <s v="ORD0686"/>
    <x v="286"/>
    <x v="0"/>
    <s v="Apparel"/>
    <s v="Jacket"/>
    <x v="3"/>
    <n v="22"/>
    <n v="3747"/>
    <n v="82434"/>
    <n v="115"/>
    <n v="6"/>
    <s v="Delayed"/>
    <x v="0"/>
    <n v="16486.8"/>
  </r>
  <r>
    <s v="ORD0687"/>
    <x v="309"/>
    <x v="0"/>
    <s v="Apparel"/>
    <s v="Hoodie"/>
    <x v="0"/>
    <n v="26"/>
    <n v="1944"/>
    <n v="50544"/>
    <n v="17"/>
    <n v="3"/>
    <s v="On Time"/>
    <x v="1"/>
    <n v="10108.800000000001"/>
  </r>
  <r>
    <s v="ORD0688"/>
    <x v="230"/>
    <x v="0"/>
    <s v="Office Supplies"/>
    <s v="Notebook"/>
    <x v="2"/>
    <n v="33"/>
    <n v="2087"/>
    <n v="68871"/>
    <n v="188"/>
    <n v="9"/>
    <s v="Delayed"/>
    <x v="0"/>
    <n v="13774.2"/>
  </r>
  <r>
    <s v="ORD0689"/>
    <x v="102"/>
    <x v="3"/>
    <s v="Electronics"/>
    <s v="Monitor"/>
    <x v="2"/>
    <n v="41"/>
    <n v="1639"/>
    <n v="67199"/>
    <n v="249"/>
    <n v="2"/>
    <s v="On Time"/>
    <x v="0"/>
    <n v="13439.800000000001"/>
  </r>
  <r>
    <s v="ORD0690"/>
    <x v="203"/>
    <x v="2"/>
    <s v="Office Supplies"/>
    <s v="File Folder"/>
    <x v="3"/>
    <n v="45"/>
    <n v="2192"/>
    <n v="98640"/>
    <n v="23"/>
    <n v="7"/>
    <s v="Delayed"/>
    <x v="1"/>
    <n v="19728"/>
  </r>
  <r>
    <s v="ORD0691"/>
    <x v="90"/>
    <x v="0"/>
    <s v="Electronics"/>
    <s v="Monitor"/>
    <x v="3"/>
    <n v="45"/>
    <n v="4629"/>
    <n v="208305"/>
    <n v="264"/>
    <n v="3"/>
    <s v="On Time"/>
    <x v="0"/>
    <n v="41661"/>
  </r>
  <r>
    <s v="ORD0692"/>
    <x v="59"/>
    <x v="1"/>
    <s v="Office Supplies"/>
    <s v="File Folder"/>
    <x v="0"/>
    <n v="7"/>
    <n v="4316"/>
    <n v="30212"/>
    <n v="143"/>
    <n v="2"/>
    <s v="On Time"/>
    <x v="0"/>
    <n v="6042.4000000000005"/>
  </r>
  <r>
    <s v="ORD0693"/>
    <x v="310"/>
    <x v="0"/>
    <s v="Electronics"/>
    <s v="Keyboard"/>
    <x v="2"/>
    <n v="41"/>
    <n v="1131"/>
    <n v="46371"/>
    <n v="173"/>
    <n v="6"/>
    <s v="Delayed"/>
    <x v="0"/>
    <n v="9274.2000000000007"/>
  </r>
  <r>
    <s v="ORD0694"/>
    <x v="217"/>
    <x v="0"/>
    <s v="Furniture"/>
    <s v="Cabinet"/>
    <x v="2"/>
    <n v="46"/>
    <n v="1598"/>
    <n v="73508"/>
    <n v="80"/>
    <n v="10"/>
    <s v="Delayed"/>
    <x v="0"/>
    <n v="14701.6"/>
  </r>
  <r>
    <s v="ORD0695"/>
    <x v="81"/>
    <x v="1"/>
    <s v="Apparel"/>
    <s v="Hoodie"/>
    <x v="2"/>
    <n v="36"/>
    <n v="1243"/>
    <n v="44748"/>
    <n v="220"/>
    <n v="9"/>
    <s v="Delayed"/>
    <x v="0"/>
    <n v="8949.6"/>
  </r>
  <r>
    <s v="ORD0696"/>
    <x v="311"/>
    <x v="0"/>
    <s v="Apparel"/>
    <s v="Jacket"/>
    <x v="1"/>
    <n v="32"/>
    <n v="4385"/>
    <n v="140320"/>
    <n v="137"/>
    <n v="7"/>
    <s v="Delayed"/>
    <x v="0"/>
    <n v="28064"/>
  </r>
  <r>
    <s v="ORD0697"/>
    <x v="135"/>
    <x v="2"/>
    <s v="Office Supplies"/>
    <s v="Notebook"/>
    <x v="1"/>
    <n v="4"/>
    <n v="4920"/>
    <n v="19680"/>
    <n v="39"/>
    <n v="9"/>
    <s v="Delayed"/>
    <x v="1"/>
    <n v="3936"/>
  </r>
  <r>
    <s v="ORD0698"/>
    <x v="312"/>
    <x v="2"/>
    <s v="Office Supplies"/>
    <s v="Notebook"/>
    <x v="0"/>
    <n v="22"/>
    <n v="2538"/>
    <n v="55836"/>
    <n v="152"/>
    <n v="2"/>
    <s v="On Time"/>
    <x v="0"/>
    <n v="11167.2"/>
  </r>
  <r>
    <s v="ORD0699"/>
    <x v="140"/>
    <x v="0"/>
    <s v="Furniture"/>
    <s v="Table"/>
    <x v="3"/>
    <n v="32"/>
    <n v="1242"/>
    <n v="39744"/>
    <n v="67"/>
    <n v="7"/>
    <s v="Delayed"/>
    <x v="0"/>
    <n v="7948.8"/>
  </r>
  <r>
    <s v="ORD0700"/>
    <x v="140"/>
    <x v="3"/>
    <s v="Office Supplies"/>
    <s v="File Folder"/>
    <x v="2"/>
    <n v="26"/>
    <n v="3565"/>
    <n v="92690"/>
    <n v="110"/>
    <n v="2"/>
    <s v="On Time"/>
    <x v="0"/>
    <n v="18538"/>
  </r>
  <r>
    <s v="ORD0701"/>
    <x v="224"/>
    <x v="0"/>
    <s v="Electronics"/>
    <s v="Keyboard"/>
    <x v="0"/>
    <n v="47"/>
    <n v="2796"/>
    <n v="131412"/>
    <n v="26"/>
    <n v="6"/>
    <s v="Delayed"/>
    <x v="1"/>
    <n v="26282.400000000001"/>
  </r>
  <r>
    <s v="ORD0702"/>
    <x v="313"/>
    <x v="0"/>
    <s v="Apparel"/>
    <s v="Cap"/>
    <x v="3"/>
    <n v="46"/>
    <n v="2033"/>
    <n v="93518"/>
    <n v="84"/>
    <n v="6"/>
    <s v="Delayed"/>
    <x v="0"/>
    <n v="18703.600000000002"/>
  </r>
  <r>
    <s v="ORD0703"/>
    <x v="47"/>
    <x v="3"/>
    <s v="Apparel"/>
    <s v="Hoodie"/>
    <x v="3"/>
    <n v="4"/>
    <n v="1659"/>
    <n v="6636"/>
    <n v="89"/>
    <n v="8"/>
    <s v="Delayed"/>
    <x v="0"/>
    <n v="1327.2"/>
  </r>
  <r>
    <s v="ORD0704"/>
    <x v="116"/>
    <x v="3"/>
    <s v="Electronics"/>
    <s v="Keyboard"/>
    <x v="2"/>
    <n v="31"/>
    <n v="2834"/>
    <n v="87854"/>
    <n v="24"/>
    <n v="6"/>
    <s v="Delayed"/>
    <x v="1"/>
    <n v="17570.8"/>
  </r>
  <r>
    <s v="ORD0705"/>
    <x v="314"/>
    <x v="0"/>
    <s v="Apparel"/>
    <s v="Jacket"/>
    <x v="1"/>
    <n v="29"/>
    <n v="3904"/>
    <n v="113216"/>
    <n v="42"/>
    <n v="2"/>
    <s v="On Time"/>
    <x v="1"/>
    <n v="22643.200000000001"/>
  </r>
  <r>
    <s v="ORD0706"/>
    <x v="221"/>
    <x v="1"/>
    <s v="Electronics"/>
    <s v="Mouse"/>
    <x v="2"/>
    <n v="33"/>
    <n v="2358"/>
    <n v="77814"/>
    <n v="285"/>
    <n v="4"/>
    <s v="On Time"/>
    <x v="0"/>
    <n v="15562.800000000001"/>
  </r>
  <r>
    <s v="ORD0707"/>
    <x v="131"/>
    <x v="0"/>
    <s v="Apparel"/>
    <s v="T-Shirt"/>
    <x v="2"/>
    <n v="37"/>
    <n v="3926"/>
    <n v="145262"/>
    <n v="280"/>
    <n v="10"/>
    <s v="Delayed"/>
    <x v="0"/>
    <n v="29052.400000000001"/>
  </r>
  <r>
    <s v="ORD0708"/>
    <x v="295"/>
    <x v="3"/>
    <s v="Apparel"/>
    <s v="Jacket"/>
    <x v="0"/>
    <n v="46"/>
    <n v="4461"/>
    <n v="205206"/>
    <n v="278"/>
    <n v="5"/>
    <s v="On Time"/>
    <x v="0"/>
    <n v="41041.200000000004"/>
  </r>
  <r>
    <s v="ORD0709"/>
    <x v="308"/>
    <x v="0"/>
    <s v="Apparel"/>
    <s v="Cap"/>
    <x v="2"/>
    <n v="38"/>
    <n v="2058"/>
    <n v="78204"/>
    <n v="278"/>
    <n v="6"/>
    <s v="Delayed"/>
    <x v="0"/>
    <n v="15640.800000000001"/>
  </r>
  <r>
    <s v="ORD0710"/>
    <x v="101"/>
    <x v="3"/>
    <s v="Apparel"/>
    <s v="Hoodie"/>
    <x v="2"/>
    <n v="23"/>
    <n v="3862"/>
    <n v="88826"/>
    <n v="27"/>
    <n v="7"/>
    <s v="Delayed"/>
    <x v="1"/>
    <n v="17765.2"/>
  </r>
  <r>
    <s v="ORD0711"/>
    <x v="279"/>
    <x v="0"/>
    <s v="Office Supplies"/>
    <s v="Marker"/>
    <x v="0"/>
    <n v="21"/>
    <n v="4154"/>
    <n v="87234"/>
    <n v="81"/>
    <n v="5"/>
    <s v="On Time"/>
    <x v="0"/>
    <n v="17446.8"/>
  </r>
  <r>
    <s v="ORD0712"/>
    <x v="64"/>
    <x v="3"/>
    <s v="Electronics"/>
    <s v="Mouse"/>
    <x v="0"/>
    <n v="46"/>
    <n v="1475"/>
    <n v="67850"/>
    <n v="91"/>
    <n v="9"/>
    <s v="Delayed"/>
    <x v="0"/>
    <n v="13570"/>
  </r>
  <r>
    <s v="ORD0713"/>
    <x v="157"/>
    <x v="0"/>
    <s v="Furniture"/>
    <s v="Chair"/>
    <x v="1"/>
    <n v="23"/>
    <n v="1662"/>
    <n v="38226"/>
    <n v="82"/>
    <n v="9"/>
    <s v="Delayed"/>
    <x v="0"/>
    <n v="7645.2000000000007"/>
  </r>
  <r>
    <s v="ORD0714"/>
    <x v="159"/>
    <x v="0"/>
    <s v="Electronics"/>
    <s v="Keyboard"/>
    <x v="0"/>
    <n v="7"/>
    <n v="4077"/>
    <n v="28539"/>
    <n v="29"/>
    <n v="6"/>
    <s v="Delayed"/>
    <x v="1"/>
    <n v="5707.8"/>
  </r>
  <r>
    <s v="ORD0715"/>
    <x v="175"/>
    <x v="2"/>
    <s v="Office Supplies"/>
    <s v="Notebook"/>
    <x v="0"/>
    <n v="2"/>
    <n v="2051"/>
    <n v="4102"/>
    <n v="227"/>
    <n v="3"/>
    <s v="On Time"/>
    <x v="0"/>
    <n v="820.40000000000009"/>
  </r>
  <r>
    <s v="ORD0716"/>
    <x v="262"/>
    <x v="3"/>
    <s v="Furniture"/>
    <s v="Cabinet"/>
    <x v="1"/>
    <n v="14"/>
    <n v="4272"/>
    <n v="59808"/>
    <n v="146"/>
    <n v="7"/>
    <s v="Delayed"/>
    <x v="0"/>
    <n v="11961.6"/>
  </r>
  <r>
    <s v="ORD0717"/>
    <x v="130"/>
    <x v="3"/>
    <s v="Furniture"/>
    <s v="Chair"/>
    <x v="3"/>
    <n v="22"/>
    <n v="2512"/>
    <n v="55264"/>
    <n v="192"/>
    <n v="10"/>
    <s v="Delayed"/>
    <x v="0"/>
    <n v="11052.800000000001"/>
  </r>
  <r>
    <s v="ORD0718"/>
    <x v="184"/>
    <x v="0"/>
    <s v="Office Supplies"/>
    <s v="File Folder"/>
    <x v="2"/>
    <n v="13"/>
    <n v="4410"/>
    <n v="57330"/>
    <n v="105"/>
    <n v="2"/>
    <s v="On Time"/>
    <x v="0"/>
    <n v="11466"/>
  </r>
  <r>
    <s v="ORD0719"/>
    <x v="165"/>
    <x v="2"/>
    <s v="Apparel"/>
    <s v="T-Shirt"/>
    <x v="3"/>
    <n v="22"/>
    <n v="4152"/>
    <n v="91344"/>
    <n v="284"/>
    <n v="9"/>
    <s v="Delayed"/>
    <x v="0"/>
    <n v="18268.8"/>
  </r>
  <r>
    <s v="ORD0720"/>
    <x v="315"/>
    <x v="1"/>
    <s v="Office Supplies"/>
    <s v="Printer Paper"/>
    <x v="3"/>
    <n v="26"/>
    <n v="2237"/>
    <n v="58162"/>
    <n v="211"/>
    <n v="5"/>
    <s v="On Time"/>
    <x v="0"/>
    <n v="11632.400000000001"/>
  </r>
  <r>
    <s v="ORD0721"/>
    <x v="192"/>
    <x v="0"/>
    <s v="Electronics"/>
    <s v="Mouse"/>
    <x v="1"/>
    <n v="12"/>
    <n v="3720"/>
    <n v="44640"/>
    <n v="190"/>
    <n v="9"/>
    <s v="Delayed"/>
    <x v="0"/>
    <n v="8928"/>
  </r>
  <r>
    <s v="ORD0722"/>
    <x v="91"/>
    <x v="3"/>
    <s v="Office Supplies"/>
    <s v="File Folder"/>
    <x v="2"/>
    <n v="38"/>
    <n v="4509"/>
    <n v="171342"/>
    <n v="167"/>
    <n v="2"/>
    <s v="On Time"/>
    <x v="0"/>
    <n v="34268.400000000001"/>
  </r>
  <r>
    <s v="ORD0723"/>
    <x v="216"/>
    <x v="0"/>
    <s v="Electronics"/>
    <s v="Monitor"/>
    <x v="1"/>
    <n v="37"/>
    <n v="1619"/>
    <n v="59903"/>
    <n v="298"/>
    <n v="2"/>
    <s v="On Time"/>
    <x v="0"/>
    <n v="11980.6"/>
  </r>
  <r>
    <s v="ORD0724"/>
    <x v="232"/>
    <x v="3"/>
    <s v="Office Supplies"/>
    <s v="Marker"/>
    <x v="0"/>
    <n v="39"/>
    <n v="4923"/>
    <n v="191997"/>
    <n v="72"/>
    <n v="3"/>
    <s v="On Time"/>
    <x v="0"/>
    <n v="38399.4"/>
  </r>
  <r>
    <s v="ORD0725"/>
    <x v="150"/>
    <x v="1"/>
    <s v="Furniture"/>
    <s v="Chair"/>
    <x v="2"/>
    <n v="42"/>
    <n v="3078"/>
    <n v="129276"/>
    <n v="57"/>
    <n v="6"/>
    <s v="Delayed"/>
    <x v="0"/>
    <n v="25855.200000000001"/>
  </r>
  <r>
    <s v="ORD0726"/>
    <x v="44"/>
    <x v="1"/>
    <s v="Furniture"/>
    <s v="Chair"/>
    <x v="1"/>
    <n v="18"/>
    <n v="2172"/>
    <n v="39096"/>
    <n v="244"/>
    <n v="9"/>
    <s v="Delayed"/>
    <x v="0"/>
    <n v="7819.2000000000007"/>
  </r>
  <r>
    <s v="ORD0727"/>
    <x v="258"/>
    <x v="1"/>
    <s v="Office Supplies"/>
    <s v="Marker"/>
    <x v="0"/>
    <n v="38"/>
    <n v="4735"/>
    <n v="179930"/>
    <n v="221"/>
    <n v="3"/>
    <s v="On Time"/>
    <x v="0"/>
    <n v="35986"/>
  </r>
  <r>
    <s v="ORD0728"/>
    <x v="316"/>
    <x v="2"/>
    <s v="Electronics"/>
    <s v="Laptop"/>
    <x v="1"/>
    <n v="25"/>
    <n v="2685"/>
    <n v="67125"/>
    <n v="70"/>
    <n v="5"/>
    <s v="On Time"/>
    <x v="0"/>
    <n v="13425"/>
  </r>
  <r>
    <s v="ORD0729"/>
    <x v="217"/>
    <x v="0"/>
    <s v="Apparel"/>
    <s v="T-Shirt"/>
    <x v="1"/>
    <n v="9"/>
    <n v="1654"/>
    <n v="14886"/>
    <n v="243"/>
    <n v="2"/>
    <s v="On Time"/>
    <x v="0"/>
    <n v="2977.2000000000003"/>
  </r>
  <r>
    <s v="ORD0730"/>
    <x v="188"/>
    <x v="0"/>
    <s v="Apparel"/>
    <s v="T-Shirt"/>
    <x v="2"/>
    <n v="45"/>
    <n v="1969"/>
    <n v="88605"/>
    <n v="146"/>
    <n v="10"/>
    <s v="Delayed"/>
    <x v="0"/>
    <n v="17721"/>
  </r>
  <r>
    <s v="ORD0731"/>
    <x v="119"/>
    <x v="3"/>
    <s v="Furniture"/>
    <s v="Desk"/>
    <x v="1"/>
    <n v="22"/>
    <n v="2181"/>
    <n v="47982"/>
    <n v="137"/>
    <n v="7"/>
    <s v="Delayed"/>
    <x v="0"/>
    <n v="9596.4"/>
  </r>
  <r>
    <s v="ORD0732"/>
    <x v="170"/>
    <x v="2"/>
    <s v="Apparel"/>
    <s v="T-Shirt"/>
    <x v="2"/>
    <n v="37"/>
    <n v="3019"/>
    <n v="111703"/>
    <n v="222"/>
    <n v="3"/>
    <s v="On Time"/>
    <x v="0"/>
    <n v="22340.600000000002"/>
  </r>
  <r>
    <s v="ORD0733"/>
    <x v="317"/>
    <x v="0"/>
    <s v="Furniture"/>
    <s v="Chair"/>
    <x v="2"/>
    <n v="46"/>
    <n v="4282"/>
    <n v="196972"/>
    <n v="45"/>
    <n v="5"/>
    <s v="On Time"/>
    <x v="1"/>
    <n v="39394.400000000001"/>
  </r>
  <r>
    <s v="ORD0734"/>
    <x v="209"/>
    <x v="0"/>
    <s v="Apparel"/>
    <s v="T-Shirt"/>
    <x v="0"/>
    <n v="32"/>
    <n v="3045"/>
    <n v="97440"/>
    <n v="255"/>
    <n v="9"/>
    <s v="Delayed"/>
    <x v="0"/>
    <n v="19488"/>
  </r>
  <r>
    <s v="ORD0735"/>
    <x v="91"/>
    <x v="0"/>
    <s v="Furniture"/>
    <s v="Chair"/>
    <x v="2"/>
    <n v="14"/>
    <n v="3054"/>
    <n v="42756"/>
    <n v="284"/>
    <n v="9"/>
    <s v="Delayed"/>
    <x v="0"/>
    <n v="8551.2000000000007"/>
  </r>
  <r>
    <s v="ORD0736"/>
    <x v="271"/>
    <x v="1"/>
    <s v="Apparel"/>
    <s v="Jacket"/>
    <x v="0"/>
    <n v="33"/>
    <n v="4149"/>
    <n v="136917"/>
    <n v="213"/>
    <n v="5"/>
    <s v="On Time"/>
    <x v="0"/>
    <n v="27383.4"/>
  </r>
  <r>
    <s v="ORD0737"/>
    <x v="268"/>
    <x v="2"/>
    <s v="Electronics"/>
    <s v="Monitor"/>
    <x v="1"/>
    <n v="36"/>
    <n v="3429"/>
    <n v="123444"/>
    <n v="215"/>
    <n v="10"/>
    <s v="Delayed"/>
    <x v="0"/>
    <n v="24688.800000000003"/>
  </r>
  <r>
    <s v="ORD0738"/>
    <x v="318"/>
    <x v="2"/>
    <s v="Furniture"/>
    <s v="Chair"/>
    <x v="3"/>
    <n v="19"/>
    <n v="1938"/>
    <n v="36822"/>
    <n v="127"/>
    <n v="3"/>
    <s v="On Time"/>
    <x v="0"/>
    <n v="7364.4000000000005"/>
  </r>
  <r>
    <s v="ORD0739"/>
    <x v="244"/>
    <x v="3"/>
    <s v="Electronics"/>
    <s v="Laptop"/>
    <x v="1"/>
    <n v="12"/>
    <n v="2600"/>
    <n v="31200"/>
    <n v="33"/>
    <n v="8"/>
    <s v="Delayed"/>
    <x v="1"/>
    <n v="6240"/>
  </r>
  <r>
    <s v="ORD0740"/>
    <x v="223"/>
    <x v="1"/>
    <s v="Apparel"/>
    <s v="T-Shirt"/>
    <x v="0"/>
    <n v="43"/>
    <n v="3988"/>
    <n v="171484"/>
    <n v="68"/>
    <n v="5"/>
    <s v="On Time"/>
    <x v="0"/>
    <n v="34296.800000000003"/>
  </r>
  <r>
    <s v="ORD0741"/>
    <x v="319"/>
    <x v="1"/>
    <s v="Apparel"/>
    <s v="Cap"/>
    <x v="3"/>
    <n v="29"/>
    <n v="2017"/>
    <n v="58493"/>
    <n v="237"/>
    <n v="4"/>
    <s v="On Time"/>
    <x v="0"/>
    <n v="11698.6"/>
  </r>
  <r>
    <s v="ORD0742"/>
    <x v="241"/>
    <x v="0"/>
    <s v="Electronics"/>
    <s v="Keyboard"/>
    <x v="0"/>
    <n v="1"/>
    <n v="2152"/>
    <n v="2152"/>
    <n v="160"/>
    <n v="3"/>
    <s v="On Time"/>
    <x v="0"/>
    <n v="430.40000000000003"/>
  </r>
  <r>
    <s v="ORD0743"/>
    <x v="320"/>
    <x v="1"/>
    <s v="Office Supplies"/>
    <s v="Printer Paper"/>
    <x v="0"/>
    <n v="48"/>
    <n v="4210"/>
    <n v="202080"/>
    <n v="81"/>
    <n v="5"/>
    <s v="On Time"/>
    <x v="0"/>
    <n v="40416"/>
  </r>
  <r>
    <s v="ORD0744"/>
    <x v="85"/>
    <x v="2"/>
    <s v="Apparel"/>
    <s v="Hoodie"/>
    <x v="1"/>
    <n v="31"/>
    <n v="4035"/>
    <n v="125085"/>
    <n v="254"/>
    <n v="3"/>
    <s v="On Time"/>
    <x v="0"/>
    <n v="25017"/>
  </r>
  <r>
    <s v="ORD0745"/>
    <x v="36"/>
    <x v="1"/>
    <s v="Furniture"/>
    <s v="Cabinet"/>
    <x v="3"/>
    <n v="30"/>
    <n v="4845"/>
    <n v="145350"/>
    <n v="165"/>
    <n v="10"/>
    <s v="Delayed"/>
    <x v="0"/>
    <n v="29070"/>
  </r>
  <r>
    <s v="ORD0746"/>
    <x v="321"/>
    <x v="2"/>
    <s v="Furniture"/>
    <s v="Cabinet"/>
    <x v="0"/>
    <n v="13"/>
    <n v="3615"/>
    <n v="46995"/>
    <n v="126"/>
    <n v="10"/>
    <s v="Delayed"/>
    <x v="0"/>
    <n v="9399"/>
  </r>
  <r>
    <s v="ORD0747"/>
    <x v="124"/>
    <x v="2"/>
    <s v="Electronics"/>
    <s v="Keyboard"/>
    <x v="2"/>
    <n v="8"/>
    <n v="4099"/>
    <n v="32792"/>
    <n v="244"/>
    <n v="7"/>
    <s v="Delayed"/>
    <x v="0"/>
    <n v="6558.4000000000005"/>
  </r>
  <r>
    <s v="ORD0748"/>
    <x v="92"/>
    <x v="0"/>
    <s v="Electronics"/>
    <s v="Monitor"/>
    <x v="1"/>
    <n v="39"/>
    <n v="1884"/>
    <n v="73476"/>
    <n v="291"/>
    <n v="9"/>
    <s v="Delayed"/>
    <x v="0"/>
    <n v="14695.2"/>
  </r>
  <r>
    <s v="ORD0749"/>
    <x v="76"/>
    <x v="1"/>
    <s v="Office Supplies"/>
    <s v="Printer Paper"/>
    <x v="2"/>
    <n v="43"/>
    <n v="4412"/>
    <n v="189716"/>
    <n v="177"/>
    <n v="7"/>
    <s v="Delayed"/>
    <x v="0"/>
    <n v="37943.200000000004"/>
  </r>
  <r>
    <s v="ORD0750"/>
    <x v="137"/>
    <x v="0"/>
    <s v="Apparel"/>
    <s v="Jacket"/>
    <x v="2"/>
    <n v="30"/>
    <n v="2871"/>
    <n v="86130"/>
    <n v="168"/>
    <n v="2"/>
    <s v="On Time"/>
    <x v="0"/>
    <n v="17226"/>
  </r>
  <r>
    <s v="ORD0751"/>
    <x v="132"/>
    <x v="0"/>
    <s v="Apparel"/>
    <s v="T-Shirt"/>
    <x v="3"/>
    <n v="11"/>
    <n v="1414"/>
    <n v="15554"/>
    <n v="170"/>
    <n v="6"/>
    <s v="Delayed"/>
    <x v="0"/>
    <n v="3110.8"/>
  </r>
  <r>
    <s v="ORD0752"/>
    <x v="6"/>
    <x v="1"/>
    <s v="Apparel"/>
    <s v="Jacket"/>
    <x v="1"/>
    <n v="38"/>
    <n v="3515"/>
    <n v="133570"/>
    <n v="198"/>
    <n v="8"/>
    <s v="Delayed"/>
    <x v="0"/>
    <n v="26714"/>
  </r>
  <r>
    <s v="ORD0753"/>
    <x v="110"/>
    <x v="1"/>
    <s v="Furniture"/>
    <s v="Table"/>
    <x v="2"/>
    <n v="22"/>
    <n v="586"/>
    <n v="12892"/>
    <n v="290"/>
    <n v="7"/>
    <s v="Delayed"/>
    <x v="0"/>
    <n v="2578.4"/>
  </r>
  <r>
    <s v="ORD0754"/>
    <x v="51"/>
    <x v="3"/>
    <s v="Furniture"/>
    <s v="Chair"/>
    <x v="2"/>
    <n v="39"/>
    <n v="4272"/>
    <n v="166608"/>
    <n v="197"/>
    <n v="2"/>
    <s v="On Time"/>
    <x v="0"/>
    <n v="33321.599999999999"/>
  </r>
  <r>
    <s v="ORD0755"/>
    <x v="104"/>
    <x v="0"/>
    <s v="Office Supplies"/>
    <s v="File Folder"/>
    <x v="0"/>
    <n v="19"/>
    <n v="1484"/>
    <n v="28196"/>
    <n v="14"/>
    <n v="10"/>
    <s v="Delayed"/>
    <x v="1"/>
    <n v="5639.2000000000007"/>
  </r>
  <r>
    <s v="ORD0756"/>
    <x v="48"/>
    <x v="1"/>
    <s v="Electronics"/>
    <s v="Keyboard"/>
    <x v="3"/>
    <n v="14"/>
    <n v="2842"/>
    <n v="39788"/>
    <n v="135"/>
    <n v="9"/>
    <s v="Delayed"/>
    <x v="0"/>
    <n v="7957.6"/>
  </r>
  <r>
    <s v="ORD0757"/>
    <x v="49"/>
    <x v="0"/>
    <s v="Apparel"/>
    <s v="Jacket"/>
    <x v="3"/>
    <n v="8"/>
    <n v="1431"/>
    <n v="11448"/>
    <n v="216"/>
    <n v="3"/>
    <s v="On Time"/>
    <x v="0"/>
    <n v="2289.6"/>
  </r>
  <r>
    <s v="ORD0758"/>
    <x v="135"/>
    <x v="0"/>
    <s v="Furniture"/>
    <s v="Chair"/>
    <x v="1"/>
    <n v="18"/>
    <n v="1918"/>
    <n v="34524"/>
    <n v="270"/>
    <n v="4"/>
    <s v="On Time"/>
    <x v="0"/>
    <n v="6904.8"/>
  </r>
  <r>
    <s v="ORD0759"/>
    <x v="211"/>
    <x v="1"/>
    <s v="Electronics"/>
    <s v="Laptop"/>
    <x v="3"/>
    <n v="33"/>
    <n v="4207"/>
    <n v="138831"/>
    <n v="34"/>
    <n v="9"/>
    <s v="Delayed"/>
    <x v="1"/>
    <n v="27766.2"/>
  </r>
  <r>
    <s v="ORD0760"/>
    <x v="322"/>
    <x v="1"/>
    <s v="Furniture"/>
    <s v="Desk"/>
    <x v="1"/>
    <n v="22"/>
    <n v="3837"/>
    <n v="84414"/>
    <n v="18"/>
    <n v="5"/>
    <s v="On Time"/>
    <x v="1"/>
    <n v="16882.8"/>
  </r>
  <r>
    <s v="ORD0761"/>
    <x v="323"/>
    <x v="3"/>
    <s v="Electronics"/>
    <s v="Monitor"/>
    <x v="3"/>
    <n v="13"/>
    <n v="3609"/>
    <n v="46917"/>
    <n v="154"/>
    <n v="6"/>
    <s v="Delayed"/>
    <x v="0"/>
    <n v="9383.4"/>
  </r>
  <r>
    <s v="ORD0762"/>
    <x v="154"/>
    <x v="3"/>
    <s v="Apparel"/>
    <s v="Jacket"/>
    <x v="2"/>
    <n v="6"/>
    <n v="2555"/>
    <n v="15330"/>
    <n v="113"/>
    <n v="4"/>
    <s v="On Time"/>
    <x v="0"/>
    <n v="3066"/>
  </r>
  <r>
    <s v="ORD0763"/>
    <x v="318"/>
    <x v="3"/>
    <s v="Furniture"/>
    <s v="Table"/>
    <x v="3"/>
    <n v="22"/>
    <n v="2363"/>
    <n v="51986"/>
    <n v="66"/>
    <n v="10"/>
    <s v="Delayed"/>
    <x v="0"/>
    <n v="10397.200000000001"/>
  </r>
  <r>
    <s v="ORD0764"/>
    <x v="11"/>
    <x v="1"/>
    <s v="Apparel"/>
    <s v="Hoodie"/>
    <x v="2"/>
    <n v="48"/>
    <n v="1858"/>
    <n v="89184"/>
    <n v="234"/>
    <n v="4"/>
    <s v="On Time"/>
    <x v="0"/>
    <n v="17836.8"/>
  </r>
  <r>
    <s v="ORD0765"/>
    <x v="95"/>
    <x v="2"/>
    <s v="Apparel"/>
    <s v="Jacket"/>
    <x v="0"/>
    <n v="6"/>
    <n v="1258"/>
    <n v="7548"/>
    <n v="144"/>
    <n v="5"/>
    <s v="On Time"/>
    <x v="0"/>
    <n v="1509.6000000000001"/>
  </r>
  <r>
    <s v="ORD0766"/>
    <x v="324"/>
    <x v="0"/>
    <s v="Furniture"/>
    <s v="Desk"/>
    <x v="3"/>
    <n v="31"/>
    <n v="1096"/>
    <n v="33976"/>
    <n v="11"/>
    <n v="3"/>
    <s v="On Time"/>
    <x v="1"/>
    <n v="6795.2000000000007"/>
  </r>
  <r>
    <s v="ORD0767"/>
    <x v="173"/>
    <x v="1"/>
    <s v="Electronics"/>
    <s v="Mouse"/>
    <x v="3"/>
    <n v="31"/>
    <n v="793"/>
    <n v="24583"/>
    <n v="215"/>
    <n v="8"/>
    <s v="Delayed"/>
    <x v="0"/>
    <n v="4916.6000000000004"/>
  </r>
  <r>
    <s v="ORD0768"/>
    <x v="13"/>
    <x v="0"/>
    <s v="Electronics"/>
    <s v="Mouse"/>
    <x v="0"/>
    <n v="9"/>
    <n v="3143"/>
    <n v="28287"/>
    <n v="236"/>
    <n v="5"/>
    <s v="On Time"/>
    <x v="0"/>
    <n v="5657.4000000000005"/>
  </r>
  <r>
    <s v="ORD0769"/>
    <x v="241"/>
    <x v="2"/>
    <s v="Office Supplies"/>
    <s v="Notebook"/>
    <x v="1"/>
    <n v="17"/>
    <n v="3945"/>
    <n v="67065"/>
    <n v="13"/>
    <n v="9"/>
    <s v="Delayed"/>
    <x v="1"/>
    <n v="13413"/>
  </r>
  <r>
    <s v="ORD0770"/>
    <x v="1"/>
    <x v="2"/>
    <s v="Electronics"/>
    <s v="Monitor"/>
    <x v="3"/>
    <n v="10"/>
    <n v="638"/>
    <n v="6380"/>
    <n v="80"/>
    <n v="3"/>
    <s v="On Time"/>
    <x v="0"/>
    <n v="1276"/>
  </r>
  <r>
    <s v="ORD0771"/>
    <x v="31"/>
    <x v="0"/>
    <s v="Apparel"/>
    <s v="Jacket"/>
    <x v="3"/>
    <n v="22"/>
    <n v="1672"/>
    <n v="36784"/>
    <n v="84"/>
    <n v="6"/>
    <s v="Delayed"/>
    <x v="0"/>
    <n v="7356.8"/>
  </r>
  <r>
    <s v="ORD0772"/>
    <x v="159"/>
    <x v="1"/>
    <s v="Apparel"/>
    <s v="T-Shirt"/>
    <x v="0"/>
    <n v="28"/>
    <n v="1169"/>
    <n v="32732"/>
    <n v="130"/>
    <n v="5"/>
    <s v="On Time"/>
    <x v="0"/>
    <n v="6546.4000000000005"/>
  </r>
  <r>
    <s v="ORD0773"/>
    <x v="231"/>
    <x v="3"/>
    <s v="Apparel"/>
    <s v="Cap"/>
    <x v="0"/>
    <n v="47"/>
    <n v="3989"/>
    <n v="187483"/>
    <n v="291"/>
    <n v="6"/>
    <s v="Delayed"/>
    <x v="0"/>
    <n v="37496.6"/>
  </r>
  <r>
    <s v="ORD0774"/>
    <x v="310"/>
    <x v="2"/>
    <s v="Office Supplies"/>
    <s v="File Folder"/>
    <x v="1"/>
    <n v="26"/>
    <n v="3939"/>
    <n v="102414"/>
    <n v="210"/>
    <n v="6"/>
    <s v="Delayed"/>
    <x v="0"/>
    <n v="20482.800000000003"/>
  </r>
  <r>
    <s v="ORD0775"/>
    <x v="198"/>
    <x v="1"/>
    <s v="Apparel"/>
    <s v="T-Shirt"/>
    <x v="2"/>
    <n v="15"/>
    <n v="2024"/>
    <n v="30360"/>
    <n v="48"/>
    <n v="9"/>
    <s v="Delayed"/>
    <x v="1"/>
    <n v="6072"/>
  </r>
  <r>
    <s v="ORD0776"/>
    <x v="195"/>
    <x v="1"/>
    <s v="Furniture"/>
    <s v="Table"/>
    <x v="0"/>
    <n v="38"/>
    <n v="4269"/>
    <n v="162222"/>
    <n v="253"/>
    <n v="9"/>
    <s v="Delayed"/>
    <x v="0"/>
    <n v="32444.400000000001"/>
  </r>
  <r>
    <s v="ORD0777"/>
    <x v="182"/>
    <x v="0"/>
    <s v="Electronics"/>
    <s v="Laptop"/>
    <x v="3"/>
    <n v="49"/>
    <n v="3697"/>
    <n v="181153"/>
    <n v="295"/>
    <n v="5"/>
    <s v="On Time"/>
    <x v="0"/>
    <n v="36230.6"/>
  </r>
  <r>
    <s v="ORD0778"/>
    <x v="57"/>
    <x v="3"/>
    <s v="Office Supplies"/>
    <s v="Notebook"/>
    <x v="1"/>
    <n v="7"/>
    <n v="1886"/>
    <n v="13202"/>
    <n v="289"/>
    <n v="6"/>
    <s v="Delayed"/>
    <x v="0"/>
    <n v="2640.4"/>
  </r>
  <r>
    <s v="ORD0779"/>
    <x v="211"/>
    <x v="2"/>
    <s v="Electronics"/>
    <s v="Laptop"/>
    <x v="3"/>
    <n v="40"/>
    <n v="663"/>
    <n v="26520"/>
    <n v="129"/>
    <n v="10"/>
    <s v="Delayed"/>
    <x v="0"/>
    <n v="5304"/>
  </r>
  <r>
    <s v="ORD0780"/>
    <x v="134"/>
    <x v="2"/>
    <s v="Office Supplies"/>
    <s v="Printer Paper"/>
    <x v="2"/>
    <n v="9"/>
    <n v="2994"/>
    <n v="26946"/>
    <n v="107"/>
    <n v="8"/>
    <s v="Delayed"/>
    <x v="0"/>
    <n v="5389.2000000000007"/>
  </r>
  <r>
    <s v="ORD0781"/>
    <x v="199"/>
    <x v="3"/>
    <s v="Apparel"/>
    <s v="T-Shirt"/>
    <x v="2"/>
    <n v="24"/>
    <n v="3918"/>
    <n v="94032"/>
    <n v="38"/>
    <n v="9"/>
    <s v="Delayed"/>
    <x v="1"/>
    <n v="18806.400000000001"/>
  </r>
  <r>
    <s v="ORD0782"/>
    <x v="325"/>
    <x v="3"/>
    <s v="Electronics"/>
    <s v="Monitor"/>
    <x v="2"/>
    <n v="43"/>
    <n v="3740"/>
    <n v="160820"/>
    <n v="48"/>
    <n v="6"/>
    <s v="Delayed"/>
    <x v="1"/>
    <n v="32164"/>
  </r>
  <r>
    <s v="ORD0783"/>
    <x v="247"/>
    <x v="3"/>
    <s v="Apparel"/>
    <s v="T-Shirt"/>
    <x v="0"/>
    <n v="44"/>
    <n v="3917"/>
    <n v="172348"/>
    <n v="210"/>
    <n v="2"/>
    <s v="On Time"/>
    <x v="0"/>
    <n v="34469.599999999999"/>
  </r>
  <r>
    <s v="ORD0784"/>
    <x v="229"/>
    <x v="2"/>
    <s v="Electronics"/>
    <s v="Keyboard"/>
    <x v="1"/>
    <n v="46"/>
    <n v="4461"/>
    <n v="205206"/>
    <n v="237"/>
    <n v="4"/>
    <s v="On Time"/>
    <x v="0"/>
    <n v="41041.200000000004"/>
  </r>
  <r>
    <s v="ORD0785"/>
    <x v="251"/>
    <x v="1"/>
    <s v="Office Supplies"/>
    <s v="File Folder"/>
    <x v="0"/>
    <n v="23"/>
    <n v="1144"/>
    <n v="26312"/>
    <n v="298"/>
    <n v="4"/>
    <s v="On Time"/>
    <x v="0"/>
    <n v="5262.4000000000005"/>
  </r>
  <r>
    <s v="ORD0786"/>
    <x v="190"/>
    <x v="1"/>
    <s v="Furniture"/>
    <s v="Cabinet"/>
    <x v="1"/>
    <n v="31"/>
    <n v="906"/>
    <n v="28086"/>
    <n v="295"/>
    <n v="6"/>
    <s v="Delayed"/>
    <x v="0"/>
    <n v="5617.2000000000007"/>
  </r>
  <r>
    <s v="ORD0787"/>
    <x v="303"/>
    <x v="1"/>
    <s v="Apparel"/>
    <s v="Hoodie"/>
    <x v="1"/>
    <n v="30"/>
    <n v="1059"/>
    <n v="31770"/>
    <n v="251"/>
    <n v="10"/>
    <s v="Delayed"/>
    <x v="0"/>
    <n v="6354"/>
  </r>
  <r>
    <s v="ORD0788"/>
    <x v="283"/>
    <x v="0"/>
    <s v="Electronics"/>
    <s v="Laptop"/>
    <x v="0"/>
    <n v="31"/>
    <n v="1321"/>
    <n v="40951"/>
    <n v="101"/>
    <n v="3"/>
    <s v="On Time"/>
    <x v="0"/>
    <n v="8190.2000000000007"/>
  </r>
  <r>
    <s v="ORD0789"/>
    <x v="175"/>
    <x v="1"/>
    <s v="Apparel"/>
    <s v="T-Shirt"/>
    <x v="0"/>
    <n v="24"/>
    <n v="4057"/>
    <n v="97368"/>
    <n v="188"/>
    <n v="10"/>
    <s v="Delayed"/>
    <x v="0"/>
    <n v="19473.600000000002"/>
  </r>
  <r>
    <s v="ORD0790"/>
    <x v="295"/>
    <x v="0"/>
    <s v="Office Supplies"/>
    <s v="Notebook"/>
    <x v="0"/>
    <n v="1"/>
    <n v="3046"/>
    <n v="3046"/>
    <n v="246"/>
    <n v="4"/>
    <s v="On Time"/>
    <x v="0"/>
    <n v="609.20000000000005"/>
  </r>
  <r>
    <s v="ORD0791"/>
    <x v="224"/>
    <x v="2"/>
    <s v="Office Supplies"/>
    <s v="Marker"/>
    <x v="1"/>
    <n v="9"/>
    <n v="3747"/>
    <n v="33723"/>
    <n v="76"/>
    <n v="9"/>
    <s v="Delayed"/>
    <x v="0"/>
    <n v="6744.6"/>
  </r>
  <r>
    <s v="ORD0792"/>
    <x v="303"/>
    <x v="2"/>
    <s v="Furniture"/>
    <s v="Table"/>
    <x v="3"/>
    <n v="13"/>
    <n v="4581"/>
    <n v="59553"/>
    <n v="143"/>
    <n v="8"/>
    <s v="Delayed"/>
    <x v="0"/>
    <n v="11910.6"/>
  </r>
  <r>
    <s v="ORD0793"/>
    <x v="326"/>
    <x v="3"/>
    <s v="Apparel"/>
    <s v="T-Shirt"/>
    <x v="1"/>
    <n v="8"/>
    <n v="3692"/>
    <n v="29536"/>
    <n v="48"/>
    <n v="2"/>
    <s v="On Time"/>
    <x v="1"/>
    <n v="5907.2000000000007"/>
  </r>
  <r>
    <s v="ORD0794"/>
    <x v="96"/>
    <x v="1"/>
    <s v="Electronics"/>
    <s v="Mouse"/>
    <x v="0"/>
    <n v="47"/>
    <n v="4155"/>
    <n v="195285"/>
    <n v="194"/>
    <n v="6"/>
    <s v="Delayed"/>
    <x v="0"/>
    <n v="39057"/>
  </r>
  <r>
    <s v="ORD0795"/>
    <x v="205"/>
    <x v="2"/>
    <s v="Office Supplies"/>
    <s v="Notebook"/>
    <x v="0"/>
    <n v="19"/>
    <n v="3572"/>
    <n v="67868"/>
    <n v="65"/>
    <n v="5"/>
    <s v="On Time"/>
    <x v="0"/>
    <n v="13573.6"/>
  </r>
  <r>
    <s v="ORD0796"/>
    <x v="214"/>
    <x v="0"/>
    <s v="Apparel"/>
    <s v="T-Shirt"/>
    <x v="2"/>
    <n v="14"/>
    <n v="1489"/>
    <n v="20846"/>
    <n v="188"/>
    <n v="7"/>
    <s v="Delayed"/>
    <x v="0"/>
    <n v="4169.2"/>
  </r>
  <r>
    <s v="ORD0797"/>
    <x v="169"/>
    <x v="1"/>
    <s v="Electronics"/>
    <s v="Laptop"/>
    <x v="0"/>
    <n v="18"/>
    <n v="1095"/>
    <n v="19710"/>
    <n v="64"/>
    <n v="10"/>
    <s v="Delayed"/>
    <x v="0"/>
    <n v="3942"/>
  </r>
  <r>
    <s v="ORD0798"/>
    <x v="218"/>
    <x v="3"/>
    <s v="Furniture"/>
    <s v="Table"/>
    <x v="1"/>
    <n v="46"/>
    <n v="2503"/>
    <n v="115138"/>
    <n v="143"/>
    <n v="5"/>
    <s v="On Time"/>
    <x v="0"/>
    <n v="23027.600000000002"/>
  </r>
  <r>
    <s v="ORD0799"/>
    <x v="112"/>
    <x v="2"/>
    <s v="Apparel"/>
    <s v="Cap"/>
    <x v="2"/>
    <n v="39"/>
    <n v="4551"/>
    <n v="177489"/>
    <n v="160"/>
    <n v="4"/>
    <s v="On Time"/>
    <x v="0"/>
    <n v="35497.800000000003"/>
  </r>
  <r>
    <s v="ORD0800"/>
    <x v="26"/>
    <x v="2"/>
    <s v="Apparel"/>
    <s v="T-Shirt"/>
    <x v="3"/>
    <n v="13"/>
    <n v="4093"/>
    <n v="53209"/>
    <n v="238"/>
    <n v="5"/>
    <s v="On Time"/>
    <x v="0"/>
    <n v="10641.800000000001"/>
  </r>
  <r>
    <s v="ORD0801"/>
    <x v="246"/>
    <x v="3"/>
    <s v="Apparel"/>
    <s v="Cap"/>
    <x v="0"/>
    <n v="31"/>
    <n v="1962"/>
    <n v="60822"/>
    <n v="140"/>
    <n v="9"/>
    <s v="Delayed"/>
    <x v="0"/>
    <n v="12164.400000000001"/>
  </r>
  <r>
    <s v="ORD0802"/>
    <x v="294"/>
    <x v="3"/>
    <s v="Apparel"/>
    <s v="Hoodie"/>
    <x v="0"/>
    <n v="6"/>
    <n v="1460"/>
    <n v="8760"/>
    <n v="78"/>
    <n v="7"/>
    <s v="Delayed"/>
    <x v="0"/>
    <n v="1752"/>
  </r>
  <r>
    <s v="ORD0803"/>
    <x v="223"/>
    <x v="3"/>
    <s v="Furniture"/>
    <s v="Cabinet"/>
    <x v="3"/>
    <n v="7"/>
    <n v="732"/>
    <n v="5124"/>
    <n v="76"/>
    <n v="5"/>
    <s v="On Time"/>
    <x v="0"/>
    <n v="1024.8"/>
  </r>
  <r>
    <s v="ORD0804"/>
    <x v="9"/>
    <x v="1"/>
    <s v="Office Supplies"/>
    <s v="Notebook"/>
    <x v="1"/>
    <n v="34"/>
    <n v="3299"/>
    <n v="112166"/>
    <n v="89"/>
    <n v="9"/>
    <s v="Delayed"/>
    <x v="0"/>
    <n v="22433.200000000001"/>
  </r>
  <r>
    <s v="ORD0805"/>
    <x v="326"/>
    <x v="3"/>
    <s v="Apparel"/>
    <s v="T-Shirt"/>
    <x v="2"/>
    <n v="26"/>
    <n v="2431"/>
    <n v="63206"/>
    <n v="157"/>
    <n v="7"/>
    <s v="Delayed"/>
    <x v="0"/>
    <n v="12641.2"/>
  </r>
  <r>
    <s v="ORD0806"/>
    <x v="316"/>
    <x v="0"/>
    <s v="Office Supplies"/>
    <s v="Printer Paper"/>
    <x v="2"/>
    <n v="30"/>
    <n v="2388"/>
    <n v="71640"/>
    <n v="169"/>
    <n v="7"/>
    <s v="Delayed"/>
    <x v="0"/>
    <n v="14328"/>
  </r>
  <r>
    <s v="ORD0807"/>
    <x v="319"/>
    <x v="2"/>
    <s v="Furniture"/>
    <s v="Table"/>
    <x v="1"/>
    <n v="20"/>
    <n v="704"/>
    <n v="14080"/>
    <n v="28"/>
    <n v="3"/>
    <s v="On Time"/>
    <x v="1"/>
    <n v="2816"/>
  </r>
  <r>
    <s v="ORD0808"/>
    <x v="211"/>
    <x v="2"/>
    <s v="Office Supplies"/>
    <s v="Printer Paper"/>
    <x v="0"/>
    <n v="3"/>
    <n v="3410"/>
    <n v="10230"/>
    <n v="284"/>
    <n v="3"/>
    <s v="On Time"/>
    <x v="0"/>
    <n v="2046"/>
  </r>
  <r>
    <s v="ORD0809"/>
    <x v="327"/>
    <x v="3"/>
    <s v="Office Supplies"/>
    <s v="Notebook"/>
    <x v="3"/>
    <n v="36"/>
    <n v="1108"/>
    <n v="39888"/>
    <n v="47"/>
    <n v="10"/>
    <s v="Delayed"/>
    <x v="1"/>
    <n v="7977.6"/>
  </r>
  <r>
    <s v="ORD0810"/>
    <x v="135"/>
    <x v="2"/>
    <s v="Office Supplies"/>
    <s v="Printer Paper"/>
    <x v="3"/>
    <n v="30"/>
    <n v="4502"/>
    <n v="135060"/>
    <n v="38"/>
    <n v="7"/>
    <s v="Delayed"/>
    <x v="1"/>
    <n v="27012"/>
  </r>
  <r>
    <s v="ORD0811"/>
    <x v="165"/>
    <x v="0"/>
    <s v="Electronics"/>
    <s v="Monitor"/>
    <x v="3"/>
    <n v="36"/>
    <n v="748"/>
    <n v="26928"/>
    <n v="198"/>
    <n v="8"/>
    <s v="Delayed"/>
    <x v="0"/>
    <n v="5385.6"/>
  </r>
  <r>
    <s v="ORD0812"/>
    <x v="160"/>
    <x v="1"/>
    <s v="Electronics"/>
    <s v="Keyboard"/>
    <x v="0"/>
    <n v="13"/>
    <n v="4480"/>
    <n v="58240"/>
    <n v="112"/>
    <n v="3"/>
    <s v="On Time"/>
    <x v="0"/>
    <n v="11648"/>
  </r>
  <r>
    <s v="ORD0813"/>
    <x v="279"/>
    <x v="1"/>
    <s v="Furniture"/>
    <s v="Chair"/>
    <x v="1"/>
    <n v="14"/>
    <n v="3605"/>
    <n v="50470"/>
    <n v="113"/>
    <n v="7"/>
    <s v="Delayed"/>
    <x v="0"/>
    <n v="10094"/>
  </r>
  <r>
    <s v="ORD0814"/>
    <x v="328"/>
    <x v="2"/>
    <s v="Office Supplies"/>
    <s v="Marker"/>
    <x v="3"/>
    <n v="25"/>
    <n v="4022"/>
    <n v="100550"/>
    <n v="272"/>
    <n v="9"/>
    <s v="Delayed"/>
    <x v="0"/>
    <n v="20110"/>
  </r>
  <r>
    <s v="ORD0815"/>
    <x v="294"/>
    <x v="0"/>
    <s v="Electronics"/>
    <s v="Laptop"/>
    <x v="3"/>
    <n v="46"/>
    <n v="3372"/>
    <n v="155112"/>
    <n v="286"/>
    <n v="2"/>
    <s v="On Time"/>
    <x v="0"/>
    <n v="31022.400000000001"/>
  </r>
  <r>
    <s v="ORD0816"/>
    <x v="196"/>
    <x v="2"/>
    <s v="Apparel"/>
    <s v="Hoodie"/>
    <x v="3"/>
    <n v="29"/>
    <n v="1916"/>
    <n v="55564"/>
    <n v="208"/>
    <n v="9"/>
    <s v="Delayed"/>
    <x v="0"/>
    <n v="11112.800000000001"/>
  </r>
  <r>
    <s v="ORD0817"/>
    <x v="82"/>
    <x v="2"/>
    <s v="Electronics"/>
    <s v="Mouse"/>
    <x v="0"/>
    <n v="31"/>
    <n v="1261"/>
    <n v="39091"/>
    <n v="145"/>
    <n v="3"/>
    <s v="On Time"/>
    <x v="0"/>
    <n v="7818.2000000000007"/>
  </r>
  <r>
    <s v="ORD0818"/>
    <x v="160"/>
    <x v="2"/>
    <s v="Apparel"/>
    <s v="Jacket"/>
    <x v="0"/>
    <n v="16"/>
    <n v="2396"/>
    <n v="38336"/>
    <n v="56"/>
    <n v="6"/>
    <s v="Delayed"/>
    <x v="0"/>
    <n v="7667.2000000000007"/>
  </r>
  <r>
    <s v="ORD0819"/>
    <x v="151"/>
    <x v="2"/>
    <s v="Apparel"/>
    <s v="Hoodie"/>
    <x v="2"/>
    <n v="34"/>
    <n v="1432"/>
    <n v="48688"/>
    <n v="216"/>
    <n v="9"/>
    <s v="Delayed"/>
    <x v="0"/>
    <n v="9737.6"/>
  </r>
  <r>
    <s v="ORD0820"/>
    <x v="67"/>
    <x v="3"/>
    <s v="Office Supplies"/>
    <s v="Notebook"/>
    <x v="0"/>
    <n v="6"/>
    <n v="1617"/>
    <n v="9702"/>
    <n v="39"/>
    <n v="2"/>
    <s v="On Time"/>
    <x v="1"/>
    <n v="1940.4"/>
  </r>
  <r>
    <s v="ORD0821"/>
    <x v="85"/>
    <x v="0"/>
    <s v="Office Supplies"/>
    <s v="Marker"/>
    <x v="2"/>
    <n v="27"/>
    <n v="665"/>
    <n v="17955"/>
    <n v="181"/>
    <n v="3"/>
    <s v="On Time"/>
    <x v="0"/>
    <n v="3591"/>
  </r>
  <r>
    <s v="ORD0822"/>
    <x v="8"/>
    <x v="0"/>
    <s v="Furniture"/>
    <s v="Table"/>
    <x v="1"/>
    <n v="21"/>
    <n v="1971"/>
    <n v="41391"/>
    <n v="199"/>
    <n v="10"/>
    <s v="Delayed"/>
    <x v="0"/>
    <n v="8278.2000000000007"/>
  </r>
  <r>
    <s v="ORD0823"/>
    <x v="273"/>
    <x v="2"/>
    <s v="Apparel"/>
    <s v="Hoodie"/>
    <x v="2"/>
    <n v="48"/>
    <n v="1464"/>
    <n v="70272"/>
    <n v="106"/>
    <n v="7"/>
    <s v="Delayed"/>
    <x v="0"/>
    <n v="14054.400000000001"/>
  </r>
  <r>
    <s v="ORD0824"/>
    <x v="186"/>
    <x v="0"/>
    <s v="Office Supplies"/>
    <s v="Printer Paper"/>
    <x v="1"/>
    <n v="1"/>
    <n v="1753"/>
    <n v="1753"/>
    <n v="28"/>
    <n v="8"/>
    <s v="Delayed"/>
    <x v="1"/>
    <n v="350.6"/>
  </r>
  <r>
    <s v="ORD0825"/>
    <x v="251"/>
    <x v="0"/>
    <s v="Office Supplies"/>
    <s v="Printer Paper"/>
    <x v="1"/>
    <n v="12"/>
    <n v="944"/>
    <n v="11328"/>
    <n v="161"/>
    <n v="9"/>
    <s v="Delayed"/>
    <x v="0"/>
    <n v="2265.6"/>
  </r>
  <r>
    <s v="ORD0826"/>
    <x v="190"/>
    <x v="2"/>
    <s v="Apparel"/>
    <s v="T-Shirt"/>
    <x v="1"/>
    <n v="28"/>
    <n v="930"/>
    <n v="26040"/>
    <n v="111"/>
    <n v="3"/>
    <s v="On Time"/>
    <x v="0"/>
    <n v="5208"/>
  </r>
  <r>
    <s v="ORD0827"/>
    <x v="303"/>
    <x v="2"/>
    <s v="Furniture"/>
    <s v="Cabinet"/>
    <x v="1"/>
    <n v="7"/>
    <n v="4556"/>
    <n v="31892"/>
    <n v="239"/>
    <n v="2"/>
    <s v="On Time"/>
    <x v="0"/>
    <n v="6378.4000000000005"/>
  </r>
  <r>
    <s v="ORD0828"/>
    <x v="157"/>
    <x v="1"/>
    <s v="Apparel"/>
    <s v="Hoodie"/>
    <x v="0"/>
    <n v="30"/>
    <n v="3401"/>
    <n v="102030"/>
    <n v="265"/>
    <n v="6"/>
    <s v="Delayed"/>
    <x v="0"/>
    <n v="20406"/>
  </r>
  <r>
    <s v="ORD0829"/>
    <x v="30"/>
    <x v="0"/>
    <s v="Apparel"/>
    <s v="T-Shirt"/>
    <x v="2"/>
    <n v="3"/>
    <n v="4757"/>
    <n v="14271"/>
    <n v="299"/>
    <n v="5"/>
    <s v="On Time"/>
    <x v="0"/>
    <n v="2854.2000000000003"/>
  </r>
  <r>
    <s v="ORD0830"/>
    <x v="130"/>
    <x v="2"/>
    <s v="Electronics"/>
    <s v="Mouse"/>
    <x v="3"/>
    <n v="11"/>
    <n v="2271"/>
    <n v="24981"/>
    <n v="188"/>
    <n v="3"/>
    <s v="On Time"/>
    <x v="0"/>
    <n v="4996.2000000000007"/>
  </r>
  <r>
    <s v="ORD0831"/>
    <x v="16"/>
    <x v="3"/>
    <s v="Furniture"/>
    <s v="Table"/>
    <x v="0"/>
    <n v="32"/>
    <n v="3961"/>
    <n v="126752"/>
    <n v="141"/>
    <n v="9"/>
    <s v="Delayed"/>
    <x v="0"/>
    <n v="25350.400000000001"/>
  </r>
  <r>
    <s v="ORD0832"/>
    <x v="133"/>
    <x v="3"/>
    <s v="Furniture"/>
    <s v="Table"/>
    <x v="2"/>
    <n v="35"/>
    <n v="4770"/>
    <n v="166950"/>
    <n v="231"/>
    <n v="7"/>
    <s v="Delayed"/>
    <x v="0"/>
    <n v="33390"/>
  </r>
  <r>
    <s v="ORD0833"/>
    <x v="3"/>
    <x v="1"/>
    <s v="Electronics"/>
    <s v="Laptop"/>
    <x v="2"/>
    <n v="49"/>
    <n v="1445"/>
    <n v="70805"/>
    <n v="157"/>
    <n v="4"/>
    <s v="On Time"/>
    <x v="0"/>
    <n v="14161"/>
  </r>
  <r>
    <s v="ORD0834"/>
    <x v="329"/>
    <x v="1"/>
    <s v="Apparel"/>
    <s v="Jacket"/>
    <x v="0"/>
    <n v="50"/>
    <n v="2794"/>
    <n v="139700"/>
    <n v="114"/>
    <n v="7"/>
    <s v="Delayed"/>
    <x v="0"/>
    <n v="27940"/>
  </r>
  <r>
    <s v="ORD0835"/>
    <x v="149"/>
    <x v="2"/>
    <s v="Electronics"/>
    <s v="Monitor"/>
    <x v="2"/>
    <n v="18"/>
    <n v="571"/>
    <n v="10278"/>
    <n v="84"/>
    <n v="9"/>
    <s v="Delayed"/>
    <x v="0"/>
    <n v="2055.6"/>
  </r>
  <r>
    <s v="ORD0836"/>
    <x v="91"/>
    <x v="1"/>
    <s v="Electronics"/>
    <s v="Mouse"/>
    <x v="0"/>
    <n v="31"/>
    <n v="946"/>
    <n v="29326"/>
    <n v="266"/>
    <n v="3"/>
    <s v="On Time"/>
    <x v="0"/>
    <n v="5865.2000000000007"/>
  </r>
  <r>
    <s v="ORD0837"/>
    <x v="278"/>
    <x v="2"/>
    <s v="Electronics"/>
    <s v="Monitor"/>
    <x v="1"/>
    <n v="3"/>
    <n v="3094"/>
    <n v="9282"/>
    <n v="36"/>
    <n v="10"/>
    <s v="Delayed"/>
    <x v="1"/>
    <n v="1856.4"/>
  </r>
  <r>
    <s v="ORD0838"/>
    <x v="289"/>
    <x v="0"/>
    <s v="Furniture"/>
    <s v="Table"/>
    <x v="1"/>
    <n v="8"/>
    <n v="4875"/>
    <n v="39000"/>
    <n v="180"/>
    <n v="8"/>
    <s v="Delayed"/>
    <x v="0"/>
    <n v="7800"/>
  </r>
  <r>
    <s v="ORD0839"/>
    <x v="125"/>
    <x v="1"/>
    <s v="Apparel"/>
    <s v="Cap"/>
    <x v="2"/>
    <n v="13"/>
    <n v="1815"/>
    <n v="23595"/>
    <n v="129"/>
    <n v="4"/>
    <s v="On Time"/>
    <x v="0"/>
    <n v="4719"/>
  </r>
  <r>
    <s v="ORD0840"/>
    <x v="293"/>
    <x v="1"/>
    <s v="Office Supplies"/>
    <s v="File Folder"/>
    <x v="1"/>
    <n v="4"/>
    <n v="4710"/>
    <n v="18840"/>
    <n v="110"/>
    <n v="5"/>
    <s v="On Time"/>
    <x v="0"/>
    <n v="3768"/>
  </r>
  <r>
    <s v="ORD0841"/>
    <x v="320"/>
    <x v="2"/>
    <s v="Electronics"/>
    <s v="Keyboard"/>
    <x v="2"/>
    <n v="6"/>
    <n v="1740"/>
    <n v="10440"/>
    <n v="264"/>
    <n v="3"/>
    <s v="On Time"/>
    <x v="0"/>
    <n v="2088"/>
  </r>
  <r>
    <s v="ORD0842"/>
    <x v="263"/>
    <x v="0"/>
    <s v="Furniture"/>
    <s v="Desk"/>
    <x v="0"/>
    <n v="29"/>
    <n v="734"/>
    <n v="21286"/>
    <n v="278"/>
    <n v="3"/>
    <s v="On Time"/>
    <x v="0"/>
    <n v="4257.2"/>
  </r>
  <r>
    <s v="ORD0843"/>
    <x v="53"/>
    <x v="0"/>
    <s v="Furniture"/>
    <s v="Table"/>
    <x v="0"/>
    <n v="12"/>
    <n v="3249"/>
    <n v="38988"/>
    <n v="124"/>
    <n v="7"/>
    <s v="Delayed"/>
    <x v="0"/>
    <n v="7797.6"/>
  </r>
  <r>
    <s v="ORD0844"/>
    <x v="303"/>
    <x v="2"/>
    <s v="Furniture"/>
    <s v="Table"/>
    <x v="2"/>
    <n v="49"/>
    <n v="2505"/>
    <n v="122745"/>
    <n v="243"/>
    <n v="4"/>
    <s v="On Time"/>
    <x v="0"/>
    <n v="24549"/>
  </r>
  <r>
    <s v="ORD0845"/>
    <x v="324"/>
    <x v="1"/>
    <s v="Apparel"/>
    <s v="Hoodie"/>
    <x v="3"/>
    <n v="49"/>
    <n v="691"/>
    <n v="33859"/>
    <n v="260"/>
    <n v="5"/>
    <s v="On Time"/>
    <x v="0"/>
    <n v="6771.8"/>
  </r>
  <r>
    <s v="ORD0846"/>
    <x v="35"/>
    <x v="1"/>
    <s v="Office Supplies"/>
    <s v="Printer Paper"/>
    <x v="2"/>
    <n v="48"/>
    <n v="2385"/>
    <n v="114480"/>
    <n v="230"/>
    <n v="9"/>
    <s v="Delayed"/>
    <x v="0"/>
    <n v="22896"/>
  </r>
  <r>
    <s v="ORD0847"/>
    <x v="65"/>
    <x v="0"/>
    <s v="Electronics"/>
    <s v="Mouse"/>
    <x v="3"/>
    <n v="23"/>
    <n v="4685"/>
    <n v="107755"/>
    <n v="256"/>
    <n v="5"/>
    <s v="On Time"/>
    <x v="0"/>
    <n v="21551"/>
  </r>
  <r>
    <s v="ORD0848"/>
    <x v="91"/>
    <x v="3"/>
    <s v="Furniture"/>
    <s v="Cabinet"/>
    <x v="3"/>
    <n v="20"/>
    <n v="3807"/>
    <n v="76140"/>
    <n v="25"/>
    <n v="8"/>
    <s v="Delayed"/>
    <x v="1"/>
    <n v="15228"/>
  </r>
  <r>
    <s v="ORD0849"/>
    <x v="289"/>
    <x v="0"/>
    <s v="Apparel"/>
    <s v="T-Shirt"/>
    <x v="1"/>
    <n v="10"/>
    <n v="845"/>
    <n v="8450"/>
    <n v="62"/>
    <n v="5"/>
    <s v="On Time"/>
    <x v="0"/>
    <n v="1690"/>
  </r>
  <r>
    <s v="ORD0850"/>
    <x v="330"/>
    <x v="2"/>
    <s v="Electronics"/>
    <s v="Laptop"/>
    <x v="1"/>
    <n v="27"/>
    <n v="3194"/>
    <n v="86238"/>
    <n v="195"/>
    <n v="10"/>
    <s v="Delayed"/>
    <x v="0"/>
    <n v="17247.600000000002"/>
  </r>
  <r>
    <s v="ORD0851"/>
    <x v="331"/>
    <x v="1"/>
    <s v="Furniture"/>
    <s v="Chair"/>
    <x v="3"/>
    <n v="22"/>
    <n v="4803"/>
    <n v="105666"/>
    <n v="69"/>
    <n v="2"/>
    <s v="On Time"/>
    <x v="0"/>
    <n v="21133.200000000001"/>
  </r>
  <r>
    <s v="ORD0852"/>
    <x v="217"/>
    <x v="2"/>
    <s v="Apparel"/>
    <s v="Jacket"/>
    <x v="0"/>
    <n v="50"/>
    <n v="3041"/>
    <n v="152050"/>
    <n v="292"/>
    <n v="2"/>
    <s v="On Time"/>
    <x v="0"/>
    <n v="30410"/>
  </r>
  <r>
    <s v="ORD0853"/>
    <x v="296"/>
    <x v="3"/>
    <s v="Office Supplies"/>
    <s v="File Folder"/>
    <x v="0"/>
    <n v="36"/>
    <n v="1098"/>
    <n v="39528"/>
    <n v="155"/>
    <n v="5"/>
    <s v="On Time"/>
    <x v="0"/>
    <n v="7905.6"/>
  </r>
  <r>
    <s v="ORD0854"/>
    <x v="67"/>
    <x v="0"/>
    <s v="Office Supplies"/>
    <s v="Marker"/>
    <x v="1"/>
    <n v="48"/>
    <n v="1030"/>
    <n v="49440"/>
    <n v="187"/>
    <n v="10"/>
    <s v="Delayed"/>
    <x v="0"/>
    <n v="9888"/>
  </r>
  <r>
    <s v="ORD0855"/>
    <x v="44"/>
    <x v="0"/>
    <s v="Office Supplies"/>
    <s v="Notebook"/>
    <x v="0"/>
    <n v="14"/>
    <n v="516"/>
    <n v="7224"/>
    <n v="47"/>
    <n v="7"/>
    <s v="Delayed"/>
    <x v="1"/>
    <n v="1444.8000000000002"/>
  </r>
  <r>
    <s v="ORD0856"/>
    <x v="90"/>
    <x v="1"/>
    <s v="Office Supplies"/>
    <s v="File Folder"/>
    <x v="3"/>
    <n v="20"/>
    <n v="1029"/>
    <n v="20580"/>
    <n v="229"/>
    <n v="10"/>
    <s v="Delayed"/>
    <x v="0"/>
    <n v="4116"/>
  </r>
  <r>
    <s v="ORD0857"/>
    <x v="133"/>
    <x v="1"/>
    <s v="Electronics"/>
    <s v="Mouse"/>
    <x v="3"/>
    <n v="37"/>
    <n v="1948"/>
    <n v="72076"/>
    <n v="253"/>
    <n v="2"/>
    <s v="On Time"/>
    <x v="0"/>
    <n v="14415.2"/>
  </r>
  <r>
    <s v="ORD0858"/>
    <x v="54"/>
    <x v="0"/>
    <s v="Electronics"/>
    <s v="Laptop"/>
    <x v="3"/>
    <n v="40"/>
    <n v="4934"/>
    <n v="197360"/>
    <n v="134"/>
    <n v="5"/>
    <s v="On Time"/>
    <x v="0"/>
    <n v="39472"/>
  </r>
  <r>
    <s v="ORD0859"/>
    <x v="33"/>
    <x v="1"/>
    <s v="Electronics"/>
    <s v="Mouse"/>
    <x v="2"/>
    <n v="19"/>
    <n v="3237"/>
    <n v="61503"/>
    <n v="68"/>
    <n v="9"/>
    <s v="Delayed"/>
    <x v="0"/>
    <n v="12300.6"/>
  </r>
  <r>
    <s v="ORD0860"/>
    <x v="332"/>
    <x v="2"/>
    <s v="Furniture"/>
    <s v="Chair"/>
    <x v="1"/>
    <n v="43"/>
    <n v="1075"/>
    <n v="46225"/>
    <n v="164"/>
    <n v="10"/>
    <s v="Delayed"/>
    <x v="0"/>
    <n v="9245"/>
  </r>
  <r>
    <s v="ORD0861"/>
    <x v="84"/>
    <x v="2"/>
    <s v="Apparel"/>
    <s v="Hoodie"/>
    <x v="3"/>
    <n v="48"/>
    <n v="3364"/>
    <n v="161472"/>
    <n v="297"/>
    <n v="3"/>
    <s v="On Time"/>
    <x v="0"/>
    <n v="32294.400000000001"/>
  </r>
  <r>
    <s v="ORD0862"/>
    <x v="3"/>
    <x v="2"/>
    <s v="Furniture"/>
    <s v="Cabinet"/>
    <x v="1"/>
    <n v="36"/>
    <n v="2228"/>
    <n v="80208"/>
    <n v="244"/>
    <n v="6"/>
    <s v="Delayed"/>
    <x v="0"/>
    <n v="16041.6"/>
  </r>
  <r>
    <s v="ORD0863"/>
    <x v="252"/>
    <x v="0"/>
    <s v="Electronics"/>
    <s v="Laptop"/>
    <x v="2"/>
    <n v="9"/>
    <n v="1632"/>
    <n v="14688"/>
    <n v="252"/>
    <n v="8"/>
    <s v="Delayed"/>
    <x v="0"/>
    <n v="2937.6000000000004"/>
  </r>
  <r>
    <s v="ORD0864"/>
    <x v="49"/>
    <x v="2"/>
    <s v="Furniture"/>
    <s v="Table"/>
    <x v="1"/>
    <n v="7"/>
    <n v="1516"/>
    <n v="10612"/>
    <n v="152"/>
    <n v="6"/>
    <s v="Delayed"/>
    <x v="0"/>
    <n v="2122.4"/>
  </r>
  <r>
    <s v="ORD0865"/>
    <x v="331"/>
    <x v="1"/>
    <s v="Electronics"/>
    <s v="Laptop"/>
    <x v="3"/>
    <n v="41"/>
    <n v="4652"/>
    <n v="190732"/>
    <n v="205"/>
    <n v="5"/>
    <s v="On Time"/>
    <x v="0"/>
    <n v="38146.400000000001"/>
  </r>
  <r>
    <s v="ORD0866"/>
    <x v="19"/>
    <x v="0"/>
    <s v="Office Supplies"/>
    <s v="File Folder"/>
    <x v="3"/>
    <n v="13"/>
    <n v="2089"/>
    <n v="27157"/>
    <n v="13"/>
    <n v="7"/>
    <s v="Delayed"/>
    <x v="1"/>
    <n v="5431.4000000000005"/>
  </r>
  <r>
    <s v="ORD0867"/>
    <x v="261"/>
    <x v="0"/>
    <s v="Electronics"/>
    <s v="Laptop"/>
    <x v="3"/>
    <n v="20"/>
    <n v="851"/>
    <n v="17020"/>
    <n v="24"/>
    <n v="2"/>
    <s v="On Time"/>
    <x v="1"/>
    <n v="3404"/>
  </r>
  <r>
    <s v="ORD0868"/>
    <x v="317"/>
    <x v="0"/>
    <s v="Apparel"/>
    <s v="T-Shirt"/>
    <x v="1"/>
    <n v="26"/>
    <n v="1782"/>
    <n v="46332"/>
    <n v="103"/>
    <n v="7"/>
    <s v="Delayed"/>
    <x v="0"/>
    <n v="9266.4"/>
  </r>
  <r>
    <s v="ORD0869"/>
    <x v="195"/>
    <x v="2"/>
    <s v="Office Supplies"/>
    <s v="File Folder"/>
    <x v="1"/>
    <n v="10"/>
    <n v="4169"/>
    <n v="41690"/>
    <n v="149"/>
    <n v="6"/>
    <s v="Delayed"/>
    <x v="0"/>
    <n v="8338"/>
  </r>
  <r>
    <s v="ORD0870"/>
    <x v="333"/>
    <x v="1"/>
    <s v="Electronics"/>
    <s v="Keyboard"/>
    <x v="1"/>
    <n v="30"/>
    <n v="4407"/>
    <n v="132210"/>
    <n v="152"/>
    <n v="10"/>
    <s v="Delayed"/>
    <x v="0"/>
    <n v="26442"/>
  </r>
  <r>
    <s v="ORD0871"/>
    <x v="309"/>
    <x v="1"/>
    <s v="Furniture"/>
    <s v="Chair"/>
    <x v="1"/>
    <n v="27"/>
    <n v="3196"/>
    <n v="86292"/>
    <n v="111"/>
    <n v="6"/>
    <s v="Delayed"/>
    <x v="0"/>
    <n v="17258.400000000001"/>
  </r>
  <r>
    <s v="ORD0872"/>
    <x v="156"/>
    <x v="0"/>
    <s v="Electronics"/>
    <s v="Laptop"/>
    <x v="0"/>
    <n v="11"/>
    <n v="1299"/>
    <n v="14289"/>
    <n v="214"/>
    <n v="8"/>
    <s v="Delayed"/>
    <x v="0"/>
    <n v="2857.8"/>
  </r>
  <r>
    <s v="ORD0873"/>
    <x v="334"/>
    <x v="0"/>
    <s v="Apparel"/>
    <s v="Cap"/>
    <x v="0"/>
    <n v="10"/>
    <n v="2751"/>
    <n v="27510"/>
    <n v="170"/>
    <n v="4"/>
    <s v="On Time"/>
    <x v="0"/>
    <n v="5502"/>
  </r>
  <r>
    <s v="ORD0874"/>
    <x v="45"/>
    <x v="3"/>
    <s v="Electronics"/>
    <s v="Monitor"/>
    <x v="3"/>
    <n v="13"/>
    <n v="4972"/>
    <n v="64636"/>
    <n v="34"/>
    <n v="6"/>
    <s v="Delayed"/>
    <x v="1"/>
    <n v="12927.2"/>
  </r>
  <r>
    <s v="ORD0875"/>
    <x v="216"/>
    <x v="2"/>
    <s v="Furniture"/>
    <s v="Chair"/>
    <x v="2"/>
    <n v="8"/>
    <n v="2471"/>
    <n v="19768"/>
    <n v="190"/>
    <n v="3"/>
    <s v="On Time"/>
    <x v="0"/>
    <n v="3953.6000000000004"/>
  </r>
  <r>
    <s v="ORD0876"/>
    <x v="325"/>
    <x v="1"/>
    <s v="Office Supplies"/>
    <s v="Printer Paper"/>
    <x v="3"/>
    <n v="22"/>
    <n v="4353"/>
    <n v="95766"/>
    <n v="260"/>
    <n v="9"/>
    <s v="Delayed"/>
    <x v="0"/>
    <n v="19153.2"/>
  </r>
  <r>
    <s v="ORD0877"/>
    <x v="167"/>
    <x v="2"/>
    <s v="Office Supplies"/>
    <s v="Notebook"/>
    <x v="1"/>
    <n v="14"/>
    <n v="816"/>
    <n v="11424"/>
    <n v="188"/>
    <n v="2"/>
    <s v="On Time"/>
    <x v="0"/>
    <n v="2284.8000000000002"/>
  </r>
  <r>
    <s v="ORD0878"/>
    <x v="261"/>
    <x v="0"/>
    <s v="Apparel"/>
    <s v="T-Shirt"/>
    <x v="2"/>
    <n v="4"/>
    <n v="3963"/>
    <n v="15852"/>
    <n v="84"/>
    <n v="8"/>
    <s v="Delayed"/>
    <x v="0"/>
    <n v="3170.4"/>
  </r>
  <r>
    <s v="ORD0879"/>
    <x v="146"/>
    <x v="3"/>
    <s v="Apparel"/>
    <s v="T-Shirt"/>
    <x v="1"/>
    <n v="30"/>
    <n v="541"/>
    <n v="16230"/>
    <n v="171"/>
    <n v="5"/>
    <s v="On Time"/>
    <x v="0"/>
    <n v="3246"/>
  </r>
  <r>
    <s v="ORD0880"/>
    <x v="157"/>
    <x v="0"/>
    <s v="Office Supplies"/>
    <s v="Notebook"/>
    <x v="2"/>
    <n v="23"/>
    <n v="946"/>
    <n v="21758"/>
    <n v="280"/>
    <n v="6"/>
    <s v="Delayed"/>
    <x v="0"/>
    <n v="4351.6000000000004"/>
  </r>
  <r>
    <s v="ORD0881"/>
    <x v="324"/>
    <x v="2"/>
    <s v="Furniture"/>
    <s v="Chair"/>
    <x v="1"/>
    <n v="20"/>
    <n v="3369"/>
    <n v="67380"/>
    <n v="32"/>
    <n v="5"/>
    <s v="On Time"/>
    <x v="1"/>
    <n v="13476"/>
  </r>
  <r>
    <s v="ORD0882"/>
    <x v="303"/>
    <x v="2"/>
    <s v="Electronics"/>
    <s v="Keyboard"/>
    <x v="3"/>
    <n v="29"/>
    <n v="4019"/>
    <n v="116551"/>
    <n v="274"/>
    <n v="7"/>
    <s v="Delayed"/>
    <x v="0"/>
    <n v="23310.2"/>
  </r>
  <r>
    <s v="ORD0883"/>
    <x v="189"/>
    <x v="0"/>
    <s v="Electronics"/>
    <s v="Keyboard"/>
    <x v="3"/>
    <n v="36"/>
    <n v="2304"/>
    <n v="82944"/>
    <n v="272"/>
    <n v="2"/>
    <s v="On Time"/>
    <x v="0"/>
    <n v="16588.8"/>
  </r>
  <r>
    <s v="ORD0884"/>
    <x v="69"/>
    <x v="0"/>
    <s v="Office Supplies"/>
    <s v="File Folder"/>
    <x v="3"/>
    <n v="28"/>
    <n v="565"/>
    <n v="15820"/>
    <n v="264"/>
    <n v="4"/>
    <s v="On Time"/>
    <x v="0"/>
    <n v="3164"/>
  </r>
  <r>
    <s v="ORD0885"/>
    <x v="159"/>
    <x v="0"/>
    <s v="Office Supplies"/>
    <s v="File Folder"/>
    <x v="1"/>
    <n v="36"/>
    <n v="4578"/>
    <n v="164808"/>
    <n v="160"/>
    <n v="2"/>
    <s v="On Time"/>
    <x v="0"/>
    <n v="32961.599999999999"/>
  </r>
  <r>
    <s v="ORD0886"/>
    <x v="178"/>
    <x v="1"/>
    <s v="Apparel"/>
    <s v="Hoodie"/>
    <x v="1"/>
    <n v="45"/>
    <n v="3102"/>
    <n v="139590"/>
    <n v="281"/>
    <n v="6"/>
    <s v="Delayed"/>
    <x v="0"/>
    <n v="27918"/>
  </r>
  <r>
    <s v="ORD0887"/>
    <x v="56"/>
    <x v="2"/>
    <s v="Apparel"/>
    <s v="T-Shirt"/>
    <x v="1"/>
    <n v="32"/>
    <n v="1421"/>
    <n v="45472"/>
    <n v="58"/>
    <n v="9"/>
    <s v="Delayed"/>
    <x v="0"/>
    <n v="9094.4"/>
  </r>
  <r>
    <s v="ORD0888"/>
    <x v="335"/>
    <x v="1"/>
    <s v="Electronics"/>
    <s v="Mouse"/>
    <x v="2"/>
    <n v="30"/>
    <n v="3235"/>
    <n v="97050"/>
    <n v="167"/>
    <n v="7"/>
    <s v="Delayed"/>
    <x v="0"/>
    <n v="19410"/>
  </r>
  <r>
    <s v="ORD0889"/>
    <x v="155"/>
    <x v="3"/>
    <s v="Furniture"/>
    <s v="Chair"/>
    <x v="2"/>
    <n v="9"/>
    <n v="2961"/>
    <n v="26649"/>
    <n v="63"/>
    <n v="6"/>
    <s v="Delayed"/>
    <x v="0"/>
    <n v="5329.8"/>
  </r>
  <r>
    <s v="ORD0890"/>
    <x v="336"/>
    <x v="0"/>
    <s v="Office Supplies"/>
    <s v="Notebook"/>
    <x v="1"/>
    <n v="10"/>
    <n v="1553"/>
    <n v="15530"/>
    <n v="144"/>
    <n v="6"/>
    <s v="Delayed"/>
    <x v="0"/>
    <n v="3106"/>
  </r>
  <r>
    <s v="ORD0891"/>
    <x v="58"/>
    <x v="3"/>
    <s v="Furniture"/>
    <s v="Chair"/>
    <x v="1"/>
    <n v="37"/>
    <n v="1406"/>
    <n v="52022"/>
    <n v="138"/>
    <n v="5"/>
    <s v="On Time"/>
    <x v="0"/>
    <n v="10404.400000000001"/>
  </r>
  <r>
    <s v="ORD0892"/>
    <x v="337"/>
    <x v="0"/>
    <s v="Office Supplies"/>
    <s v="Printer Paper"/>
    <x v="1"/>
    <n v="24"/>
    <n v="3357"/>
    <n v="80568"/>
    <n v="19"/>
    <n v="8"/>
    <s v="Delayed"/>
    <x v="1"/>
    <n v="16113.6"/>
  </r>
  <r>
    <s v="ORD0893"/>
    <x v="75"/>
    <x v="1"/>
    <s v="Apparel"/>
    <s v="Jacket"/>
    <x v="2"/>
    <n v="6"/>
    <n v="3040"/>
    <n v="18240"/>
    <n v="18"/>
    <n v="4"/>
    <s v="On Time"/>
    <x v="1"/>
    <n v="3648"/>
  </r>
  <r>
    <s v="ORD0894"/>
    <x v="30"/>
    <x v="1"/>
    <s v="Office Supplies"/>
    <s v="Marker"/>
    <x v="3"/>
    <n v="42"/>
    <n v="4234"/>
    <n v="177828"/>
    <n v="253"/>
    <n v="4"/>
    <s v="On Time"/>
    <x v="0"/>
    <n v="35565.599999999999"/>
  </r>
  <r>
    <s v="ORD0895"/>
    <x v="231"/>
    <x v="0"/>
    <s v="Office Supplies"/>
    <s v="Printer Paper"/>
    <x v="1"/>
    <n v="25"/>
    <n v="4395"/>
    <n v="109875"/>
    <n v="56"/>
    <n v="4"/>
    <s v="On Time"/>
    <x v="0"/>
    <n v="21975"/>
  </r>
  <r>
    <s v="ORD0896"/>
    <x v="277"/>
    <x v="1"/>
    <s v="Office Supplies"/>
    <s v="Notebook"/>
    <x v="3"/>
    <n v="9"/>
    <n v="3467"/>
    <n v="31203"/>
    <n v="258"/>
    <n v="10"/>
    <s v="Delayed"/>
    <x v="0"/>
    <n v="6240.6"/>
  </r>
  <r>
    <s v="ORD0897"/>
    <x v="263"/>
    <x v="1"/>
    <s v="Office Supplies"/>
    <s v="File Folder"/>
    <x v="1"/>
    <n v="14"/>
    <n v="553"/>
    <n v="7742"/>
    <n v="56"/>
    <n v="2"/>
    <s v="On Time"/>
    <x v="0"/>
    <n v="1548.4"/>
  </r>
  <r>
    <s v="ORD0898"/>
    <x v="5"/>
    <x v="3"/>
    <s v="Office Supplies"/>
    <s v="Marker"/>
    <x v="3"/>
    <n v="46"/>
    <n v="2835"/>
    <n v="130410"/>
    <n v="217"/>
    <n v="9"/>
    <s v="Delayed"/>
    <x v="0"/>
    <n v="26082"/>
  </r>
  <r>
    <s v="ORD0899"/>
    <x v="58"/>
    <x v="1"/>
    <s v="Office Supplies"/>
    <s v="Marker"/>
    <x v="1"/>
    <n v="12"/>
    <n v="4844"/>
    <n v="58128"/>
    <n v="154"/>
    <n v="6"/>
    <s v="Delayed"/>
    <x v="0"/>
    <n v="11625.6"/>
  </r>
  <r>
    <s v="ORD0900"/>
    <x v="211"/>
    <x v="1"/>
    <s v="Office Supplies"/>
    <s v="Printer Paper"/>
    <x v="2"/>
    <n v="48"/>
    <n v="932"/>
    <n v="44736"/>
    <n v="206"/>
    <n v="3"/>
    <s v="On Time"/>
    <x v="0"/>
    <n v="8947.2000000000007"/>
  </r>
  <r>
    <s v="ORD0901"/>
    <x v="302"/>
    <x v="1"/>
    <s v="Office Supplies"/>
    <s v="Marker"/>
    <x v="1"/>
    <n v="19"/>
    <n v="3914"/>
    <n v="74366"/>
    <n v="194"/>
    <n v="7"/>
    <s v="Delayed"/>
    <x v="0"/>
    <n v="14873.2"/>
  </r>
  <r>
    <s v="ORD0902"/>
    <x v="73"/>
    <x v="3"/>
    <s v="Furniture"/>
    <s v="Table"/>
    <x v="0"/>
    <n v="22"/>
    <n v="2469"/>
    <n v="54318"/>
    <n v="219"/>
    <n v="4"/>
    <s v="On Time"/>
    <x v="0"/>
    <n v="10863.6"/>
  </r>
  <r>
    <s v="ORD0903"/>
    <x v="197"/>
    <x v="3"/>
    <s v="Furniture"/>
    <s v="Desk"/>
    <x v="0"/>
    <n v="50"/>
    <n v="3750"/>
    <n v="187500"/>
    <n v="123"/>
    <n v="8"/>
    <s v="Delayed"/>
    <x v="0"/>
    <n v="37500"/>
  </r>
  <r>
    <s v="ORD0904"/>
    <x v="118"/>
    <x v="3"/>
    <s v="Furniture"/>
    <s v="Table"/>
    <x v="3"/>
    <n v="12"/>
    <n v="2974"/>
    <n v="35688"/>
    <n v="296"/>
    <n v="10"/>
    <s v="Delayed"/>
    <x v="0"/>
    <n v="7137.6"/>
  </r>
  <r>
    <s v="ORD0905"/>
    <x v="249"/>
    <x v="1"/>
    <s v="Furniture"/>
    <s v="Chair"/>
    <x v="1"/>
    <n v="9"/>
    <n v="535"/>
    <n v="4815"/>
    <n v="230"/>
    <n v="6"/>
    <s v="Delayed"/>
    <x v="0"/>
    <n v="963"/>
  </r>
  <r>
    <s v="ORD0906"/>
    <x v="338"/>
    <x v="3"/>
    <s v="Furniture"/>
    <s v="Chair"/>
    <x v="1"/>
    <n v="7"/>
    <n v="3152"/>
    <n v="22064"/>
    <n v="209"/>
    <n v="3"/>
    <s v="On Time"/>
    <x v="0"/>
    <n v="4412.8"/>
  </r>
  <r>
    <s v="ORD0907"/>
    <x v="302"/>
    <x v="0"/>
    <s v="Apparel"/>
    <s v="Hoodie"/>
    <x v="1"/>
    <n v="15"/>
    <n v="2643"/>
    <n v="39645"/>
    <n v="78"/>
    <n v="6"/>
    <s v="Delayed"/>
    <x v="0"/>
    <n v="7929"/>
  </r>
  <r>
    <s v="ORD0908"/>
    <x v="274"/>
    <x v="0"/>
    <s v="Office Supplies"/>
    <s v="Marker"/>
    <x v="2"/>
    <n v="17"/>
    <n v="2664"/>
    <n v="45288"/>
    <n v="179"/>
    <n v="6"/>
    <s v="Delayed"/>
    <x v="0"/>
    <n v="9057.6"/>
  </r>
  <r>
    <s v="ORD0909"/>
    <x v="169"/>
    <x v="3"/>
    <s v="Furniture"/>
    <s v="Cabinet"/>
    <x v="2"/>
    <n v="11"/>
    <n v="3588"/>
    <n v="39468"/>
    <n v="109"/>
    <n v="4"/>
    <s v="On Time"/>
    <x v="0"/>
    <n v="7893.6"/>
  </r>
  <r>
    <s v="ORD0910"/>
    <x v="148"/>
    <x v="2"/>
    <s v="Office Supplies"/>
    <s v="Notebook"/>
    <x v="1"/>
    <n v="3"/>
    <n v="4404"/>
    <n v="13212"/>
    <n v="153"/>
    <n v="3"/>
    <s v="On Time"/>
    <x v="0"/>
    <n v="2642.4"/>
  </r>
  <r>
    <s v="ORD0911"/>
    <x v="124"/>
    <x v="2"/>
    <s v="Furniture"/>
    <s v="Cabinet"/>
    <x v="3"/>
    <n v="4"/>
    <n v="3881"/>
    <n v="15524"/>
    <n v="221"/>
    <n v="4"/>
    <s v="On Time"/>
    <x v="0"/>
    <n v="3104.8"/>
  </r>
  <r>
    <s v="ORD0912"/>
    <x v="30"/>
    <x v="1"/>
    <s v="Apparel"/>
    <s v="Jacket"/>
    <x v="2"/>
    <n v="23"/>
    <n v="1088"/>
    <n v="25024"/>
    <n v="126"/>
    <n v="3"/>
    <s v="On Time"/>
    <x v="0"/>
    <n v="5004.8"/>
  </r>
  <r>
    <s v="ORD0913"/>
    <x v="212"/>
    <x v="2"/>
    <s v="Electronics"/>
    <s v="Laptop"/>
    <x v="0"/>
    <n v="6"/>
    <n v="906"/>
    <n v="5436"/>
    <n v="191"/>
    <n v="5"/>
    <s v="On Time"/>
    <x v="0"/>
    <n v="1087.2"/>
  </r>
  <r>
    <s v="ORD0914"/>
    <x v="59"/>
    <x v="0"/>
    <s v="Furniture"/>
    <s v="Desk"/>
    <x v="3"/>
    <n v="29"/>
    <n v="1206"/>
    <n v="34974"/>
    <n v="23"/>
    <n v="3"/>
    <s v="On Time"/>
    <x v="1"/>
    <n v="6994.8"/>
  </r>
  <r>
    <s v="ORD0915"/>
    <x v="308"/>
    <x v="2"/>
    <s v="Office Supplies"/>
    <s v="Printer Paper"/>
    <x v="0"/>
    <n v="45"/>
    <n v="3700"/>
    <n v="166500"/>
    <n v="229"/>
    <n v="8"/>
    <s v="Delayed"/>
    <x v="0"/>
    <n v="33300"/>
  </r>
  <r>
    <s v="ORD0916"/>
    <x v="267"/>
    <x v="3"/>
    <s v="Furniture"/>
    <s v="Table"/>
    <x v="0"/>
    <n v="3"/>
    <n v="2359"/>
    <n v="7077"/>
    <n v="39"/>
    <n v="6"/>
    <s v="Delayed"/>
    <x v="1"/>
    <n v="1415.4"/>
  </r>
  <r>
    <s v="ORD0917"/>
    <x v="330"/>
    <x v="3"/>
    <s v="Furniture"/>
    <s v="Table"/>
    <x v="0"/>
    <n v="20"/>
    <n v="2998"/>
    <n v="59960"/>
    <n v="154"/>
    <n v="9"/>
    <s v="Delayed"/>
    <x v="0"/>
    <n v="11992"/>
  </r>
  <r>
    <s v="ORD0918"/>
    <x v="133"/>
    <x v="0"/>
    <s v="Furniture"/>
    <s v="Table"/>
    <x v="3"/>
    <n v="20"/>
    <n v="2531"/>
    <n v="50620"/>
    <n v="274"/>
    <n v="3"/>
    <s v="On Time"/>
    <x v="0"/>
    <n v="10124"/>
  </r>
  <r>
    <s v="ORD0919"/>
    <x v="205"/>
    <x v="1"/>
    <s v="Furniture"/>
    <s v="Chair"/>
    <x v="2"/>
    <n v="18"/>
    <n v="2081"/>
    <n v="37458"/>
    <n v="287"/>
    <n v="7"/>
    <s v="Delayed"/>
    <x v="0"/>
    <n v="7491.6"/>
  </r>
  <r>
    <s v="ORD0920"/>
    <x v="339"/>
    <x v="2"/>
    <s v="Apparel"/>
    <s v="T-Shirt"/>
    <x v="3"/>
    <n v="4"/>
    <n v="2216"/>
    <n v="8864"/>
    <n v="36"/>
    <n v="2"/>
    <s v="On Time"/>
    <x v="1"/>
    <n v="1772.8000000000002"/>
  </r>
  <r>
    <s v="ORD0921"/>
    <x v="268"/>
    <x v="1"/>
    <s v="Office Supplies"/>
    <s v="File Folder"/>
    <x v="2"/>
    <n v="3"/>
    <n v="3766"/>
    <n v="11298"/>
    <n v="99"/>
    <n v="10"/>
    <s v="Delayed"/>
    <x v="0"/>
    <n v="2259.6"/>
  </r>
  <r>
    <s v="ORD0922"/>
    <x v="188"/>
    <x v="1"/>
    <s v="Office Supplies"/>
    <s v="File Folder"/>
    <x v="0"/>
    <n v="49"/>
    <n v="4200"/>
    <n v="205800"/>
    <n v="188"/>
    <n v="10"/>
    <s v="Delayed"/>
    <x v="0"/>
    <n v="41160"/>
  </r>
  <r>
    <s v="ORD0923"/>
    <x v="330"/>
    <x v="1"/>
    <s v="Electronics"/>
    <s v="Monitor"/>
    <x v="1"/>
    <n v="35"/>
    <n v="1536"/>
    <n v="53760"/>
    <n v="139"/>
    <n v="6"/>
    <s v="Delayed"/>
    <x v="0"/>
    <n v="10752"/>
  </r>
  <r>
    <s v="ORD0924"/>
    <x v="107"/>
    <x v="3"/>
    <s v="Office Supplies"/>
    <s v="File Folder"/>
    <x v="3"/>
    <n v="1"/>
    <n v="3328"/>
    <n v="3328"/>
    <n v="55"/>
    <n v="9"/>
    <s v="Delayed"/>
    <x v="0"/>
    <n v="665.6"/>
  </r>
  <r>
    <s v="ORD0925"/>
    <x v="135"/>
    <x v="2"/>
    <s v="Furniture"/>
    <s v="Chair"/>
    <x v="0"/>
    <n v="43"/>
    <n v="2821"/>
    <n v="121303"/>
    <n v="264"/>
    <n v="4"/>
    <s v="On Time"/>
    <x v="0"/>
    <n v="24260.600000000002"/>
  </r>
  <r>
    <s v="ORD0926"/>
    <x v="233"/>
    <x v="3"/>
    <s v="Office Supplies"/>
    <s v="Printer Paper"/>
    <x v="2"/>
    <n v="39"/>
    <n v="2065"/>
    <n v="80535"/>
    <n v="295"/>
    <n v="7"/>
    <s v="Delayed"/>
    <x v="0"/>
    <n v="16107"/>
  </r>
  <r>
    <s v="ORD0927"/>
    <x v="7"/>
    <x v="0"/>
    <s v="Apparel"/>
    <s v="Jacket"/>
    <x v="3"/>
    <n v="5"/>
    <n v="4650"/>
    <n v="23250"/>
    <n v="209"/>
    <n v="6"/>
    <s v="Delayed"/>
    <x v="0"/>
    <n v="4650"/>
  </r>
  <r>
    <s v="ORD0928"/>
    <x v="69"/>
    <x v="2"/>
    <s v="Electronics"/>
    <s v="Monitor"/>
    <x v="2"/>
    <n v="17"/>
    <n v="3678"/>
    <n v="62526"/>
    <n v="25"/>
    <n v="9"/>
    <s v="Delayed"/>
    <x v="1"/>
    <n v="12505.2"/>
  </r>
  <r>
    <s v="ORD0929"/>
    <x v="131"/>
    <x v="0"/>
    <s v="Office Supplies"/>
    <s v="File Folder"/>
    <x v="0"/>
    <n v="30"/>
    <n v="1607"/>
    <n v="48210"/>
    <n v="118"/>
    <n v="4"/>
    <s v="On Time"/>
    <x v="0"/>
    <n v="9642"/>
  </r>
  <r>
    <s v="ORD0930"/>
    <x v="104"/>
    <x v="1"/>
    <s v="Apparel"/>
    <s v="Cap"/>
    <x v="3"/>
    <n v="38"/>
    <n v="4106"/>
    <n v="156028"/>
    <n v="16"/>
    <n v="5"/>
    <s v="On Time"/>
    <x v="1"/>
    <n v="31205.600000000002"/>
  </r>
  <r>
    <s v="ORD0931"/>
    <x v="30"/>
    <x v="1"/>
    <s v="Furniture"/>
    <s v="Desk"/>
    <x v="3"/>
    <n v="38"/>
    <n v="3842"/>
    <n v="145996"/>
    <n v="225"/>
    <n v="2"/>
    <s v="On Time"/>
    <x v="0"/>
    <n v="29199.200000000001"/>
  </r>
  <r>
    <s v="ORD0932"/>
    <x v="252"/>
    <x v="2"/>
    <s v="Apparel"/>
    <s v="Cap"/>
    <x v="1"/>
    <n v="23"/>
    <n v="2206"/>
    <n v="50738"/>
    <n v="77"/>
    <n v="9"/>
    <s v="Delayed"/>
    <x v="0"/>
    <n v="10147.6"/>
  </r>
  <r>
    <s v="ORD0933"/>
    <x v="195"/>
    <x v="0"/>
    <s v="Office Supplies"/>
    <s v="Marker"/>
    <x v="1"/>
    <n v="22"/>
    <n v="3314"/>
    <n v="72908"/>
    <n v="159"/>
    <n v="9"/>
    <s v="Delayed"/>
    <x v="0"/>
    <n v="14581.6"/>
  </r>
  <r>
    <s v="ORD0934"/>
    <x v="164"/>
    <x v="2"/>
    <s v="Furniture"/>
    <s v="Chair"/>
    <x v="2"/>
    <n v="40"/>
    <n v="3663"/>
    <n v="146520"/>
    <n v="104"/>
    <n v="8"/>
    <s v="Delayed"/>
    <x v="0"/>
    <n v="29304"/>
  </r>
  <r>
    <s v="ORD0935"/>
    <x v="180"/>
    <x v="0"/>
    <s v="Electronics"/>
    <s v="Monitor"/>
    <x v="3"/>
    <n v="3"/>
    <n v="2415"/>
    <n v="7245"/>
    <n v="18"/>
    <n v="4"/>
    <s v="On Time"/>
    <x v="1"/>
    <n v="1449"/>
  </r>
  <r>
    <s v="ORD0936"/>
    <x v="207"/>
    <x v="1"/>
    <s v="Office Supplies"/>
    <s v="Notebook"/>
    <x v="2"/>
    <n v="3"/>
    <n v="1086"/>
    <n v="3258"/>
    <n v="27"/>
    <n v="9"/>
    <s v="Delayed"/>
    <x v="1"/>
    <n v="651.6"/>
  </r>
  <r>
    <s v="ORD0937"/>
    <x v="180"/>
    <x v="0"/>
    <s v="Electronics"/>
    <s v="Monitor"/>
    <x v="1"/>
    <n v="44"/>
    <n v="4897"/>
    <n v="215468"/>
    <n v="89"/>
    <n v="4"/>
    <s v="On Time"/>
    <x v="0"/>
    <n v="43093.600000000006"/>
  </r>
  <r>
    <s v="ORD0938"/>
    <x v="145"/>
    <x v="3"/>
    <s v="Electronics"/>
    <s v="Laptop"/>
    <x v="2"/>
    <n v="8"/>
    <n v="4483"/>
    <n v="35864"/>
    <n v="40"/>
    <n v="2"/>
    <s v="On Time"/>
    <x v="1"/>
    <n v="7172.8"/>
  </r>
  <r>
    <s v="ORD0939"/>
    <x v="275"/>
    <x v="1"/>
    <s v="Electronics"/>
    <s v="Monitor"/>
    <x v="0"/>
    <n v="25"/>
    <n v="2564"/>
    <n v="64100"/>
    <n v="111"/>
    <n v="6"/>
    <s v="Delayed"/>
    <x v="0"/>
    <n v="12820"/>
  </r>
  <r>
    <s v="ORD0940"/>
    <x v="324"/>
    <x v="1"/>
    <s v="Apparel"/>
    <s v="Jacket"/>
    <x v="1"/>
    <n v="17"/>
    <n v="2934"/>
    <n v="49878"/>
    <n v="181"/>
    <n v="5"/>
    <s v="On Time"/>
    <x v="0"/>
    <n v="9975.6"/>
  </r>
  <r>
    <s v="ORD0941"/>
    <x v="265"/>
    <x v="2"/>
    <s v="Apparel"/>
    <s v="T-Shirt"/>
    <x v="0"/>
    <n v="35"/>
    <n v="4347"/>
    <n v="152145"/>
    <n v="219"/>
    <n v="9"/>
    <s v="Delayed"/>
    <x v="0"/>
    <n v="30429"/>
  </r>
  <r>
    <s v="ORD0942"/>
    <x v="330"/>
    <x v="3"/>
    <s v="Office Supplies"/>
    <s v="Printer Paper"/>
    <x v="2"/>
    <n v="9"/>
    <n v="3996"/>
    <n v="35964"/>
    <n v="116"/>
    <n v="5"/>
    <s v="On Time"/>
    <x v="0"/>
    <n v="7192.8"/>
  </r>
  <r>
    <s v="ORD0943"/>
    <x v="255"/>
    <x v="3"/>
    <s v="Office Supplies"/>
    <s v="Printer Paper"/>
    <x v="2"/>
    <n v="48"/>
    <n v="3208"/>
    <n v="153984"/>
    <n v="247"/>
    <n v="4"/>
    <s v="On Time"/>
    <x v="0"/>
    <n v="30796.800000000003"/>
  </r>
  <r>
    <s v="ORD0944"/>
    <x v="214"/>
    <x v="0"/>
    <s v="Office Supplies"/>
    <s v="Notebook"/>
    <x v="2"/>
    <n v="48"/>
    <n v="2846"/>
    <n v="136608"/>
    <n v="147"/>
    <n v="8"/>
    <s v="Delayed"/>
    <x v="0"/>
    <n v="27321.600000000002"/>
  </r>
  <r>
    <s v="ORD0945"/>
    <x v="340"/>
    <x v="2"/>
    <s v="Apparel"/>
    <s v="T-Shirt"/>
    <x v="1"/>
    <n v="20"/>
    <n v="955"/>
    <n v="19100"/>
    <n v="61"/>
    <n v="2"/>
    <s v="On Time"/>
    <x v="0"/>
    <n v="3820"/>
  </r>
  <r>
    <s v="ORD0946"/>
    <x v="181"/>
    <x v="2"/>
    <s v="Office Supplies"/>
    <s v="Notebook"/>
    <x v="2"/>
    <n v="40"/>
    <n v="3048"/>
    <n v="121920"/>
    <n v="17"/>
    <n v="8"/>
    <s v="Delayed"/>
    <x v="1"/>
    <n v="24384"/>
  </r>
  <r>
    <s v="ORD0947"/>
    <x v="319"/>
    <x v="2"/>
    <s v="Apparel"/>
    <s v="T-Shirt"/>
    <x v="1"/>
    <n v="27"/>
    <n v="3500"/>
    <n v="94500"/>
    <n v="80"/>
    <n v="5"/>
    <s v="On Time"/>
    <x v="0"/>
    <n v="18900"/>
  </r>
  <r>
    <s v="ORD0948"/>
    <x v="193"/>
    <x v="3"/>
    <s v="Office Supplies"/>
    <s v="Printer Paper"/>
    <x v="2"/>
    <n v="43"/>
    <n v="2401"/>
    <n v="103243"/>
    <n v="156"/>
    <n v="2"/>
    <s v="On Time"/>
    <x v="0"/>
    <n v="20648.600000000002"/>
  </r>
  <r>
    <s v="ORD0949"/>
    <x v="341"/>
    <x v="0"/>
    <s v="Apparel"/>
    <s v="Hoodie"/>
    <x v="3"/>
    <n v="8"/>
    <n v="4454"/>
    <n v="35632"/>
    <n v="35"/>
    <n v="8"/>
    <s v="Delayed"/>
    <x v="1"/>
    <n v="7126.4000000000005"/>
  </r>
  <r>
    <s v="ORD0950"/>
    <x v="256"/>
    <x v="0"/>
    <s v="Office Supplies"/>
    <s v="Marker"/>
    <x v="2"/>
    <n v="15"/>
    <n v="4407"/>
    <n v="66105"/>
    <n v="106"/>
    <n v="3"/>
    <s v="On Time"/>
    <x v="0"/>
    <n v="13221"/>
  </r>
  <r>
    <s v="ORD0951"/>
    <x v="58"/>
    <x v="0"/>
    <s v="Furniture"/>
    <s v="Chair"/>
    <x v="1"/>
    <n v="19"/>
    <n v="3737"/>
    <n v="71003"/>
    <n v="109"/>
    <n v="3"/>
    <s v="On Time"/>
    <x v="0"/>
    <n v="14200.6"/>
  </r>
  <r>
    <s v="ORD0952"/>
    <x v="78"/>
    <x v="2"/>
    <s v="Electronics"/>
    <s v="Monitor"/>
    <x v="1"/>
    <n v="8"/>
    <n v="2899"/>
    <n v="23192"/>
    <n v="76"/>
    <n v="3"/>
    <s v="On Time"/>
    <x v="0"/>
    <n v="4638.4000000000005"/>
  </r>
  <r>
    <s v="ORD0953"/>
    <x v="222"/>
    <x v="3"/>
    <s v="Apparel"/>
    <s v="Cap"/>
    <x v="0"/>
    <n v="17"/>
    <n v="2622"/>
    <n v="44574"/>
    <n v="30"/>
    <n v="4"/>
    <s v="On Time"/>
    <x v="1"/>
    <n v="8914.8000000000011"/>
  </r>
  <r>
    <s v="ORD0954"/>
    <x v="42"/>
    <x v="1"/>
    <s v="Office Supplies"/>
    <s v="File Folder"/>
    <x v="1"/>
    <n v="9"/>
    <n v="1465"/>
    <n v="13185"/>
    <n v="52"/>
    <n v="8"/>
    <s v="Delayed"/>
    <x v="0"/>
    <n v="2637"/>
  </r>
  <r>
    <s v="ORD0955"/>
    <x v="269"/>
    <x v="1"/>
    <s v="Furniture"/>
    <s v="Chair"/>
    <x v="0"/>
    <n v="41"/>
    <n v="983"/>
    <n v="40303"/>
    <n v="252"/>
    <n v="3"/>
    <s v="On Time"/>
    <x v="0"/>
    <n v="8060.6"/>
  </r>
  <r>
    <s v="ORD0956"/>
    <x v="115"/>
    <x v="3"/>
    <s v="Apparel"/>
    <s v="Hoodie"/>
    <x v="2"/>
    <n v="4"/>
    <n v="2538"/>
    <n v="10152"/>
    <n v="228"/>
    <n v="2"/>
    <s v="On Time"/>
    <x v="0"/>
    <n v="2030.4"/>
  </r>
  <r>
    <s v="ORD0957"/>
    <x v="54"/>
    <x v="0"/>
    <s v="Apparel"/>
    <s v="Jacket"/>
    <x v="2"/>
    <n v="45"/>
    <n v="4418"/>
    <n v="198810"/>
    <n v="223"/>
    <n v="7"/>
    <s v="Delayed"/>
    <x v="0"/>
    <n v="39762"/>
  </r>
  <r>
    <s v="ORD0958"/>
    <x v="292"/>
    <x v="0"/>
    <s v="Office Supplies"/>
    <s v="Printer Paper"/>
    <x v="3"/>
    <n v="2"/>
    <n v="3349"/>
    <n v="6698"/>
    <n v="202"/>
    <n v="5"/>
    <s v="On Time"/>
    <x v="0"/>
    <n v="1339.6000000000001"/>
  </r>
  <r>
    <s v="ORD0959"/>
    <x v="317"/>
    <x v="3"/>
    <s v="Apparel"/>
    <s v="Cap"/>
    <x v="2"/>
    <n v="30"/>
    <n v="2425"/>
    <n v="72750"/>
    <n v="79"/>
    <n v="8"/>
    <s v="Delayed"/>
    <x v="0"/>
    <n v="14550"/>
  </r>
  <r>
    <s v="ORD0960"/>
    <x v="12"/>
    <x v="0"/>
    <s v="Furniture"/>
    <s v="Table"/>
    <x v="0"/>
    <n v="22"/>
    <n v="3253"/>
    <n v="71566"/>
    <n v="64"/>
    <n v="8"/>
    <s v="Delayed"/>
    <x v="0"/>
    <n v="14313.2"/>
  </r>
  <r>
    <s v="ORD0961"/>
    <x v="271"/>
    <x v="1"/>
    <s v="Office Supplies"/>
    <s v="Notebook"/>
    <x v="0"/>
    <n v="27"/>
    <n v="2901"/>
    <n v="78327"/>
    <n v="237"/>
    <n v="7"/>
    <s v="Delayed"/>
    <x v="0"/>
    <n v="15665.400000000001"/>
  </r>
  <r>
    <s v="ORD0962"/>
    <x v="160"/>
    <x v="1"/>
    <s v="Apparel"/>
    <s v="Cap"/>
    <x v="3"/>
    <n v="46"/>
    <n v="1208"/>
    <n v="55568"/>
    <n v="60"/>
    <n v="6"/>
    <s v="Delayed"/>
    <x v="0"/>
    <n v="11113.6"/>
  </r>
  <r>
    <s v="ORD0963"/>
    <x v="102"/>
    <x v="2"/>
    <s v="Office Supplies"/>
    <s v="Printer Paper"/>
    <x v="1"/>
    <n v="15"/>
    <n v="692"/>
    <n v="10380"/>
    <n v="123"/>
    <n v="3"/>
    <s v="On Time"/>
    <x v="0"/>
    <n v="2076"/>
  </r>
  <r>
    <s v="ORD0964"/>
    <x v="102"/>
    <x v="0"/>
    <s v="Furniture"/>
    <s v="Desk"/>
    <x v="3"/>
    <n v="27"/>
    <n v="1021"/>
    <n v="27567"/>
    <n v="37"/>
    <n v="7"/>
    <s v="Delayed"/>
    <x v="1"/>
    <n v="5513.4000000000005"/>
  </r>
  <r>
    <s v="ORD0965"/>
    <x v="93"/>
    <x v="1"/>
    <s v="Electronics"/>
    <s v="Laptop"/>
    <x v="0"/>
    <n v="13"/>
    <n v="2787"/>
    <n v="36231"/>
    <n v="41"/>
    <n v="8"/>
    <s v="Delayed"/>
    <x v="1"/>
    <n v="7246.2000000000007"/>
  </r>
  <r>
    <s v="ORD0966"/>
    <x v="16"/>
    <x v="1"/>
    <s v="Electronics"/>
    <s v="Mouse"/>
    <x v="2"/>
    <n v="1"/>
    <n v="2627"/>
    <n v="2627"/>
    <n v="253"/>
    <n v="6"/>
    <s v="Delayed"/>
    <x v="0"/>
    <n v="525.4"/>
  </r>
  <r>
    <s v="ORD0967"/>
    <x v="250"/>
    <x v="0"/>
    <s v="Apparel"/>
    <s v="Cap"/>
    <x v="2"/>
    <n v="45"/>
    <n v="1466"/>
    <n v="65970"/>
    <n v="142"/>
    <n v="9"/>
    <s v="Delayed"/>
    <x v="0"/>
    <n v="13194"/>
  </r>
  <r>
    <s v="ORD0968"/>
    <x v="185"/>
    <x v="2"/>
    <s v="Furniture"/>
    <s v="Cabinet"/>
    <x v="0"/>
    <n v="24"/>
    <n v="1326"/>
    <n v="31824"/>
    <n v="77"/>
    <n v="6"/>
    <s v="Delayed"/>
    <x v="0"/>
    <n v="6364.8"/>
  </r>
  <r>
    <s v="ORD0969"/>
    <x v="82"/>
    <x v="1"/>
    <s v="Electronics"/>
    <s v="Laptop"/>
    <x v="2"/>
    <n v="25"/>
    <n v="2250"/>
    <n v="56250"/>
    <n v="86"/>
    <n v="7"/>
    <s v="Delayed"/>
    <x v="0"/>
    <n v="11250"/>
  </r>
  <r>
    <s v="ORD0970"/>
    <x v="187"/>
    <x v="1"/>
    <s v="Furniture"/>
    <s v="Table"/>
    <x v="0"/>
    <n v="12"/>
    <n v="1992"/>
    <n v="23904"/>
    <n v="262"/>
    <n v="7"/>
    <s v="Delayed"/>
    <x v="0"/>
    <n v="4780.8"/>
  </r>
  <r>
    <s v="ORD0971"/>
    <x v="163"/>
    <x v="1"/>
    <s v="Office Supplies"/>
    <s v="Printer Paper"/>
    <x v="0"/>
    <n v="49"/>
    <n v="3732"/>
    <n v="182868"/>
    <n v="182"/>
    <n v="4"/>
    <s v="On Time"/>
    <x v="0"/>
    <n v="36573.599999999999"/>
  </r>
  <r>
    <s v="ORD0972"/>
    <x v="157"/>
    <x v="2"/>
    <s v="Electronics"/>
    <s v="Keyboard"/>
    <x v="0"/>
    <n v="48"/>
    <n v="4309"/>
    <n v="206832"/>
    <n v="163"/>
    <n v="9"/>
    <s v="Delayed"/>
    <x v="0"/>
    <n v="41366.400000000001"/>
  </r>
  <r>
    <s v="ORD0973"/>
    <x v="165"/>
    <x v="0"/>
    <s v="Electronics"/>
    <s v="Mouse"/>
    <x v="0"/>
    <n v="29"/>
    <n v="4895"/>
    <n v="141955"/>
    <n v="152"/>
    <n v="6"/>
    <s v="Delayed"/>
    <x v="0"/>
    <n v="28391"/>
  </r>
  <r>
    <s v="ORD0974"/>
    <x v="292"/>
    <x v="2"/>
    <s v="Furniture"/>
    <s v="Chair"/>
    <x v="1"/>
    <n v="15"/>
    <n v="1279"/>
    <n v="19185"/>
    <n v="269"/>
    <n v="7"/>
    <s v="Delayed"/>
    <x v="0"/>
    <n v="3837"/>
  </r>
  <r>
    <s v="ORD0975"/>
    <x v="278"/>
    <x v="2"/>
    <s v="Apparel"/>
    <s v="Cap"/>
    <x v="3"/>
    <n v="48"/>
    <n v="3705"/>
    <n v="177840"/>
    <n v="188"/>
    <n v="9"/>
    <s v="Delayed"/>
    <x v="0"/>
    <n v="35568"/>
  </r>
  <r>
    <s v="ORD0976"/>
    <x v="333"/>
    <x v="1"/>
    <s v="Office Supplies"/>
    <s v="File Folder"/>
    <x v="2"/>
    <n v="8"/>
    <n v="3546"/>
    <n v="28368"/>
    <n v="30"/>
    <n v="10"/>
    <s v="Delayed"/>
    <x v="1"/>
    <n v="5673.6"/>
  </r>
  <r>
    <s v="ORD0977"/>
    <x v="292"/>
    <x v="3"/>
    <s v="Office Supplies"/>
    <s v="Marker"/>
    <x v="2"/>
    <n v="42"/>
    <n v="2108"/>
    <n v="88536"/>
    <n v="46"/>
    <n v="4"/>
    <s v="On Time"/>
    <x v="1"/>
    <n v="17707.2"/>
  </r>
  <r>
    <s v="ORD0978"/>
    <x v="170"/>
    <x v="3"/>
    <s v="Electronics"/>
    <s v="Laptop"/>
    <x v="3"/>
    <n v="44"/>
    <n v="3352"/>
    <n v="147488"/>
    <n v="178"/>
    <n v="8"/>
    <s v="Delayed"/>
    <x v="0"/>
    <n v="29497.600000000002"/>
  </r>
  <r>
    <s v="ORD0979"/>
    <x v="190"/>
    <x v="0"/>
    <s v="Furniture"/>
    <s v="Chair"/>
    <x v="3"/>
    <n v="44"/>
    <n v="4445"/>
    <n v="195580"/>
    <n v="275"/>
    <n v="3"/>
    <s v="On Time"/>
    <x v="0"/>
    <n v="39116"/>
  </r>
  <r>
    <s v="ORD0980"/>
    <x v="222"/>
    <x v="3"/>
    <s v="Furniture"/>
    <s v="Desk"/>
    <x v="0"/>
    <n v="43"/>
    <n v="4985"/>
    <n v="214355"/>
    <n v="271"/>
    <n v="5"/>
    <s v="On Time"/>
    <x v="0"/>
    <n v="42871"/>
  </r>
  <r>
    <s v="ORD0981"/>
    <x v="319"/>
    <x v="1"/>
    <s v="Furniture"/>
    <s v="Table"/>
    <x v="1"/>
    <n v="49"/>
    <n v="3039"/>
    <n v="148911"/>
    <n v="104"/>
    <n v="3"/>
    <s v="On Time"/>
    <x v="0"/>
    <n v="29782.2"/>
  </r>
  <r>
    <s v="ORD0982"/>
    <x v="297"/>
    <x v="3"/>
    <s v="Apparel"/>
    <s v="Hoodie"/>
    <x v="2"/>
    <n v="21"/>
    <n v="613"/>
    <n v="12873"/>
    <n v="185"/>
    <n v="2"/>
    <s v="On Time"/>
    <x v="0"/>
    <n v="2574.6000000000004"/>
  </r>
  <r>
    <s v="ORD0983"/>
    <x v="77"/>
    <x v="2"/>
    <s v="Electronics"/>
    <s v="Laptop"/>
    <x v="2"/>
    <n v="20"/>
    <n v="2558"/>
    <n v="51160"/>
    <n v="95"/>
    <n v="2"/>
    <s v="On Time"/>
    <x v="0"/>
    <n v="10232"/>
  </r>
  <r>
    <s v="ORD0984"/>
    <x v="138"/>
    <x v="3"/>
    <s v="Office Supplies"/>
    <s v="Printer Paper"/>
    <x v="0"/>
    <n v="15"/>
    <n v="569"/>
    <n v="8535"/>
    <n v="200"/>
    <n v="6"/>
    <s v="Delayed"/>
    <x v="0"/>
    <n v="1707"/>
  </r>
  <r>
    <s v="ORD0985"/>
    <x v="238"/>
    <x v="0"/>
    <s v="Office Supplies"/>
    <s v="Marker"/>
    <x v="2"/>
    <n v="3"/>
    <n v="3078"/>
    <n v="9234"/>
    <n v="119"/>
    <n v="3"/>
    <s v="On Time"/>
    <x v="0"/>
    <n v="1846.8000000000002"/>
  </r>
  <r>
    <s v="ORD0986"/>
    <x v="319"/>
    <x v="2"/>
    <s v="Furniture"/>
    <s v="Table"/>
    <x v="1"/>
    <n v="37"/>
    <n v="2368"/>
    <n v="87616"/>
    <n v="127"/>
    <n v="3"/>
    <s v="On Time"/>
    <x v="0"/>
    <n v="17523.2"/>
  </r>
  <r>
    <s v="ORD0987"/>
    <x v="222"/>
    <x v="2"/>
    <s v="Furniture"/>
    <s v="Table"/>
    <x v="1"/>
    <n v="33"/>
    <n v="2800"/>
    <n v="92400"/>
    <n v="16"/>
    <n v="10"/>
    <s v="Delayed"/>
    <x v="1"/>
    <n v="18480"/>
  </r>
  <r>
    <s v="ORD0988"/>
    <x v="62"/>
    <x v="3"/>
    <s v="Office Supplies"/>
    <s v="File Folder"/>
    <x v="0"/>
    <n v="6"/>
    <n v="2990"/>
    <n v="17940"/>
    <n v="255"/>
    <n v="5"/>
    <s v="On Time"/>
    <x v="0"/>
    <n v="3588"/>
  </r>
  <r>
    <s v="ORD0989"/>
    <x v="208"/>
    <x v="3"/>
    <s v="Furniture"/>
    <s v="Chair"/>
    <x v="2"/>
    <n v="22"/>
    <n v="2406"/>
    <n v="52932"/>
    <n v="269"/>
    <n v="8"/>
    <s v="Delayed"/>
    <x v="0"/>
    <n v="10586.400000000001"/>
  </r>
  <r>
    <s v="ORD0990"/>
    <x v="3"/>
    <x v="1"/>
    <s v="Office Supplies"/>
    <s v="Marker"/>
    <x v="0"/>
    <n v="4"/>
    <n v="3467"/>
    <n v="13868"/>
    <n v="87"/>
    <n v="2"/>
    <s v="On Time"/>
    <x v="0"/>
    <n v="2773.6000000000004"/>
  </r>
  <r>
    <s v="ORD0991"/>
    <x v="2"/>
    <x v="3"/>
    <s v="Apparel"/>
    <s v="T-Shirt"/>
    <x v="1"/>
    <n v="50"/>
    <n v="2808"/>
    <n v="140400"/>
    <n v="262"/>
    <n v="2"/>
    <s v="On Time"/>
    <x v="0"/>
    <n v="28080"/>
  </r>
  <r>
    <s v="ORD0992"/>
    <x v="342"/>
    <x v="3"/>
    <s v="Electronics"/>
    <s v="Laptop"/>
    <x v="3"/>
    <n v="42"/>
    <n v="4150"/>
    <n v="174300"/>
    <n v="200"/>
    <n v="6"/>
    <s v="Delayed"/>
    <x v="0"/>
    <n v="34860"/>
  </r>
  <r>
    <s v="ORD0993"/>
    <x v="283"/>
    <x v="3"/>
    <s v="Apparel"/>
    <s v="Cap"/>
    <x v="2"/>
    <n v="29"/>
    <n v="3267"/>
    <n v="94743"/>
    <n v="167"/>
    <n v="2"/>
    <s v="On Time"/>
    <x v="0"/>
    <n v="18948.600000000002"/>
  </r>
  <r>
    <s v="ORD0994"/>
    <x v="293"/>
    <x v="2"/>
    <s v="Furniture"/>
    <s v="Table"/>
    <x v="0"/>
    <n v="44"/>
    <n v="4303"/>
    <n v="189332"/>
    <n v="95"/>
    <n v="6"/>
    <s v="Delayed"/>
    <x v="0"/>
    <n v="37866.400000000001"/>
  </r>
  <r>
    <s v="ORD0995"/>
    <x v="53"/>
    <x v="1"/>
    <s v="Electronics"/>
    <s v="Laptop"/>
    <x v="2"/>
    <n v="50"/>
    <n v="4524"/>
    <n v="226200"/>
    <n v="295"/>
    <n v="9"/>
    <s v="Delayed"/>
    <x v="0"/>
    <n v="45240"/>
  </r>
  <r>
    <s v="ORD0996"/>
    <x v="237"/>
    <x v="2"/>
    <s v="Apparel"/>
    <s v="Cap"/>
    <x v="1"/>
    <n v="42"/>
    <n v="4474"/>
    <n v="187908"/>
    <n v="148"/>
    <n v="2"/>
    <s v="On Time"/>
    <x v="0"/>
    <n v="37581.599999999999"/>
  </r>
  <r>
    <s v="ORD0997"/>
    <x v="126"/>
    <x v="0"/>
    <s v="Apparel"/>
    <s v="T-Shirt"/>
    <x v="0"/>
    <n v="41"/>
    <n v="4183"/>
    <n v="171503"/>
    <n v="56"/>
    <n v="5"/>
    <s v="On Time"/>
    <x v="0"/>
    <n v="34300.6"/>
  </r>
  <r>
    <s v="ORD0998"/>
    <x v="230"/>
    <x v="0"/>
    <s v="Apparel"/>
    <s v="T-Shirt"/>
    <x v="3"/>
    <n v="47"/>
    <n v="2009"/>
    <n v="94423"/>
    <n v="280"/>
    <n v="3"/>
    <s v="On Time"/>
    <x v="0"/>
    <n v="18884.600000000002"/>
  </r>
  <r>
    <s v="ORD0999"/>
    <x v="224"/>
    <x v="1"/>
    <s v="Office Supplies"/>
    <s v="Marker"/>
    <x v="3"/>
    <n v="25"/>
    <n v="1386"/>
    <n v="34650"/>
    <n v="232"/>
    <n v="3"/>
    <s v="On Time"/>
    <x v="0"/>
    <n v="6930"/>
  </r>
  <r>
    <s v="ORD1000"/>
    <x v="76"/>
    <x v="0"/>
    <s v="Furniture"/>
    <s v="Table"/>
    <x v="1"/>
    <n v="40"/>
    <n v="3412"/>
    <n v="136480"/>
    <n v="96"/>
    <n v="6"/>
    <s v="Delayed"/>
    <x v="0"/>
    <n v="27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123C9-DC4A-4A06-AFE9-4C18C2045773}"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6" firstHeaderRow="1" firstDataRow="1" firstDataCol="1"/>
  <pivotFields count="16">
    <pivotField showAll="0"/>
    <pivotField numFmtId="164" showAll="0">
      <items count="344">
        <item x="290"/>
        <item x="190"/>
        <item x="257"/>
        <item x="83"/>
        <item x="79"/>
        <item x="107"/>
        <item x="3"/>
        <item x="309"/>
        <item x="274"/>
        <item x="260"/>
        <item x="40"/>
        <item x="242"/>
        <item x="58"/>
        <item x="272"/>
        <item x="86"/>
        <item x="251"/>
        <item x="283"/>
        <item x="155"/>
        <item x="203"/>
        <item x="131"/>
        <item x="130"/>
        <item x="47"/>
        <item x="87"/>
        <item x="147"/>
        <item x="93"/>
        <item x="217"/>
        <item x="281"/>
        <item x="194"/>
        <item x="100"/>
        <item x="149"/>
        <item x="222"/>
        <item x="23"/>
        <item x="80"/>
        <item x="137"/>
        <item x="334"/>
        <item x="324"/>
        <item x="35"/>
        <item x="34"/>
        <item x="114"/>
        <item x="140"/>
        <item x="77"/>
        <item x="89"/>
        <item x="57"/>
        <item x="205"/>
        <item x="308"/>
        <item x="157"/>
        <item x="198"/>
        <item x="210"/>
        <item x="288"/>
        <item x="299"/>
        <item x="230"/>
        <item x="310"/>
        <item x="279"/>
        <item x="24"/>
        <item x="109"/>
        <item x="300"/>
        <item x="262"/>
        <item x="165"/>
        <item x="174"/>
        <item x="224"/>
        <item x="1"/>
        <item x="14"/>
        <item x="236"/>
        <item x="12"/>
        <item x="219"/>
        <item x="122"/>
        <item x="25"/>
        <item x="235"/>
        <item x="315"/>
        <item x="4"/>
        <item x="63"/>
        <item x="164"/>
        <item x="196"/>
        <item x="208"/>
        <item x="253"/>
        <item x="68"/>
        <item x="166"/>
        <item x="264"/>
        <item x="95"/>
        <item x="53"/>
        <item x="120"/>
        <item x="108"/>
        <item x="276"/>
        <item x="67"/>
        <item x="248"/>
        <item x="135"/>
        <item x="256"/>
        <item x="304"/>
        <item x="326"/>
        <item x="99"/>
        <item x="9"/>
        <item x="121"/>
        <item x="90"/>
        <item x="237"/>
        <item x="193"/>
        <item x="316"/>
        <item x="269"/>
        <item x="52"/>
        <item x="267"/>
        <item x="81"/>
        <item x="128"/>
        <item x="294"/>
        <item x="180"/>
        <item x="36"/>
        <item x="101"/>
        <item x="301"/>
        <item x="339"/>
        <item x="261"/>
        <item x="331"/>
        <item x="291"/>
        <item x="245"/>
        <item x="105"/>
        <item x="240"/>
        <item x="55"/>
        <item x="171"/>
        <item x="56"/>
        <item x="141"/>
        <item x="211"/>
        <item x="16"/>
        <item x="221"/>
        <item x="27"/>
        <item x="33"/>
        <item x="62"/>
        <item x="285"/>
        <item x="200"/>
        <item x="49"/>
        <item x="307"/>
        <item x="182"/>
        <item x="187"/>
        <item x="32"/>
        <item x="20"/>
        <item x="330"/>
        <item x="333"/>
        <item x="225"/>
        <item x="73"/>
        <item x="38"/>
        <item x="241"/>
        <item x="234"/>
        <item x="275"/>
        <item x="97"/>
        <item x="169"/>
        <item x="0"/>
        <item x="138"/>
        <item x="145"/>
        <item x="314"/>
        <item x="152"/>
        <item x="46"/>
        <item x="265"/>
        <item x="268"/>
        <item x="28"/>
        <item x="15"/>
        <item x="218"/>
        <item x="123"/>
        <item x="70"/>
        <item x="146"/>
        <item x="336"/>
        <item x="103"/>
        <item x="244"/>
        <item x="92"/>
        <item x="13"/>
        <item x="129"/>
        <item x="270"/>
        <item x="258"/>
        <item x="188"/>
        <item x="220"/>
        <item x="18"/>
        <item x="303"/>
        <item x="5"/>
        <item x="60"/>
        <item x="302"/>
        <item x="273"/>
        <item x="215"/>
        <item x="329"/>
        <item x="306"/>
        <item x="31"/>
        <item x="287"/>
        <item x="176"/>
        <item x="110"/>
        <item x="335"/>
        <item x="286"/>
        <item x="233"/>
        <item x="42"/>
        <item x="30"/>
        <item x="17"/>
        <item x="75"/>
        <item x="212"/>
        <item x="246"/>
        <item x="226"/>
        <item x="227"/>
        <item x="117"/>
        <item x="118"/>
        <item x="142"/>
        <item x="48"/>
        <item x="206"/>
        <item x="263"/>
        <item x="78"/>
        <item x="280"/>
        <item x="213"/>
        <item x="338"/>
        <item x="332"/>
        <item x="144"/>
        <item x="91"/>
        <item x="340"/>
        <item x="311"/>
        <item x="278"/>
        <item x="296"/>
        <item x="112"/>
        <item x="111"/>
        <item x="22"/>
        <item x="160"/>
        <item x="319"/>
        <item x="136"/>
        <item x="197"/>
        <item x="156"/>
        <item x="82"/>
        <item x="247"/>
        <item x="26"/>
        <item x="168"/>
        <item x="104"/>
        <item x="143"/>
        <item x="64"/>
        <item x="124"/>
        <item x="192"/>
        <item x="323"/>
        <item x="271"/>
        <item x="243"/>
        <item x="312"/>
        <item x="72"/>
        <item x="50"/>
        <item x="158"/>
        <item x="173"/>
        <item x="202"/>
        <item x="255"/>
        <item x="59"/>
        <item x="254"/>
        <item x="132"/>
        <item x="84"/>
        <item x="6"/>
        <item x="277"/>
        <item x="214"/>
        <item x="127"/>
        <item x="159"/>
        <item x="186"/>
        <item x="163"/>
        <item x="21"/>
        <item x="116"/>
        <item x="284"/>
        <item x="76"/>
        <item x="295"/>
        <item x="61"/>
        <item x="317"/>
        <item x="313"/>
        <item x="195"/>
        <item x="19"/>
        <item x="179"/>
        <item x="328"/>
        <item x="134"/>
        <item x="71"/>
        <item x="139"/>
        <item x="51"/>
        <item x="94"/>
        <item x="2"/>
        <item x="229"/>
        <item x="29"/>
        <item x="327"/>
        <item x="250"/>
        <item x="88"/>
        <item x="282"/>
        <item x="44"/>
        <item x="85"/>
        <item x="54"/>
        <item x="43"/>
        <item x="209"/>
        <item x="150"/>
        <item x="318"/>
        <item x="161"/>
        <item x="266"/>
        <item x="297"/>
        <item x="167"/>
        <item x="96"/>
        <item x="292"/>
        <item x="239"/>
        <item x="119"/>
        <item x="151"/>
        <item x="65"/>
        <item x="249"/>
        <item x="183"/>
        <item x="320"/>
        <item x="199"/>
        <item x="184"/>
        <item x="293"/>
        <item x="231"/>
        <item x="162"/>
        <item x="178"/>
        <item x="37"/>
        <item x="172"/>
        <item x="259"/>
        <item x="321"/>
        <item x="11"/>
        <item x="189"/>
        <item x="148"/>
        <item x="325"/>
        <item x="126"/>
        <item x="207"/>
        <item x="191"/>
        <item x="66"/>
        <item x="223"/>
        <item x="322"/>
        <item x="8"/>
        <item x="39"/>
        <item x="10"/>
        <item x="177"/>
        <item x="216"/>
        <item x="175"/>
        <item x="98"/>
        <item x="41"/>
        <item x="113"/>
        <item x="74"/>
        <item x="153"/>
        <item x="201"/>
        <item x="181"/>
        <item x="252"/>
        <item x="289"/>
        <item x="106"/>
        <item x="342"/>
        <item x="232"/>
        <item x="133"/>
        <item x="69"/>
        <item x="305"/>
        <item x="298"/>
        <item x="185"/>
        <item x="337"/>
        <item x="102"/>
        <item x="228"/>
        <item x="125"/>
        <item x="7"/>
        <item x="341"/>
        <item x="115"/>
        <item x="154"/>
        <item x="238"/>
        <item x="170"/>
        <item x="204"/>
        <item x="45"/>
        <item t="default"/>
      </items>
    </pivotField>
    <pivotField showAll="0">
      <items count="5">
        <item x="3"/>
        <item x="1"/>
        <item x="2"/>
        <item x="0"/>
        <item t="default"/>
      </items>
    </pivotField>
    <pivotField showAll="0"/>
    <pivotField showAll="0"/>
    <pivotField showAll="0">
      <items count="5">
        <item x="0"/>
        <item x="2"/>
        <item x="3"/>
        <item x="1"/>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8" baseField="0" baseItem="0"/>
  </dataFields>
  <chartFormats count="26">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14" count="1" selected="0">
            <x v="1"/>
          </reference>
          <reference field="15" count="1" selected="0">
            <x v="1"/>
          </reference>
        </references>
      </pivotArea>
    </chartFormat>
    <chartFormat chart="11" format="2">
      <pivotArea type="data" outline="0" fieldPosition="0">
        <references count="3">
          <reference field="4294967294" count="1" selected="0">
            <x v="0"/>
          </reference>
          <reference field="14" count="1" selected="0">
            <x v="2"/>
          </reference>
          <reference field="15" count="1" selected="0">
            <x v="1"/>
          </reference>
        </references>
      </pivotArea>
    </chartFormat>
    <chartFormat chart="11" format="3">
      <pivotArea type="data" outline="0" fieldPosition="0">
        <references count="3">
          <reference field="4294967294" count="1" selected="0">
            <x v="0"/>
          </reference>
          <reference field="14" count="1" selected="0">
            <x v="3"/>
          </reference>
          <reference field="15" count="1" selected="0">
            <x v="1"/>
          </reference>
        </references>
      </pivotArea>
    </chartFormat>
    <chartFormat chart="11" format="4">
      <pivotArea type="data" outline="0" fieldPosition="0">
        <references count="3">
          <reference field="4294967294" count="1" selected="0">
            <x v="0"/>
          </reference>
          <reference field="14" count="1" selected="0">
            <x v="4"/>
          </reference>
          <reference field="15" count="1" selected="0">
            <x v="1"/>
          </reference>
        </references>
      </pivotArea>
    </chartFormat>
    <chartFormat chart="11" format="5">
      <pivotArea type="data" outline="0" fieldPosition="0">
        <references count="3">
          <reference field="4294967294" count="1" selected="0">
            <x v="0"/>
          </reference>
          <reference field="14" count="1" selected="0">
            <x v="5"/>
          </reference>
          <reference field="15" count="1" selected="0">
            <x v="1"/>
          </reference>
        </references>
      </pivotArea>
    </chartFormat>
    <chartFormat chart="11" format="6">
      <pivotArea type="data" outline="0" fieldPosition="0">
        <references count="3">
          <reference field="4294967294" count="1" selected="0">
            <x v="0"/>
          </reference>
          <reference field="14" count="1" selected="0">
            <x v="6"/>
          </reference>
          <reference field="15" count="1" selected="0">
            <x v="1"/>
          </reference>
        </references>
      </pivotArea>
    </chartFormat>
    <chartFormat chart="11" format="7">
      <pivotArea type="data" outline="0" fieldPosition="0">
        <references count="3">
          <reference field="4294967294" count="1" selected="0">
            <x v="0"/>
          </reference>
          <reference field="14" count="1" selected="0">
            <x v="7"/>
          </reference>
          <reference field="15" count="1" selected="0">
            <x v="1"/>
          </reference>
        </references>
      </pivotArea>
    </chartFormat>
    <chartFormat chart="11" format="8">
      <pivotArea type="data" outline="0" fieldPosition="0">
        <references count="3">
          <reference field="4294967294" count="1" selected="0">
            <x v="0"/>
          </reference>
          <reference field="14" count="1" selected="0">
            <x v="8"/>
          </reference>
          <reference field="15" count="1" selected="0">
            <x v="1"/>
          </reference>
        </references>
      </pivotArea>
    </chartFormat>
    <chartFormat chart="11" format="9">
      <pivotArea type="data" outline="0" fieldPosition="0">
        <references count="3">
          <reference field="4294967294" count="1" selected="0">
            <x v="0"/>
          </reference>
          <reference field="14" count="1" selected="0">
            <x v="9"/>
          </reference>
          <reference field="15" count="1" selected="0">
            <x v="1"/>
          </reference>
        </references>
      </pivotArea>
    </chartFormat>
    <chartFormat chart="11" format="10">
      <pivotArea type="data" outline="0" fieldPosition="0">
        <references count="3">
          <reference field="4294967294" count="1" selected="0">
            <x v="0"/>
          </reference>
          <reference field="14" count="1" selected="0">
            <x v="10"/>
          </reference>
          <reference field="15" count="1" selected="0">
            <x v="1"/>
          </reference>
        </references>
      </pivotArea>
    </chartFormat>
    <chartFormat chart="11" format="11">
      <pivotArea type="data" outline="0" fieldPosition="0">
        <references count="3">
          <reference field="4294967294" count="1" selected="0">
            <x v="0"/>
          </reference>
          <reference field="14" count="1" selected="0">
            <x v="11"/>
          </reference>
          <reference field="15" count="1" selected="0">
            <x v="1"/>
          </reference>
        </references>
      </pivotArea>
    </chartFormat>
    <chartFormat chart="11" format="12">
      <pivotArea type="data" outline="0" fieldPosition="0">
        <references count="3">
          <reference field="4294967294" count="1" selected="0">
            <x v="0"/>
          </reference>
          <reference field="14" count="1" selected="0">
            <x v="12"/>
          </reference>
          <reference field="15" count="1" selected="0">
            <x v="1"/>
          </reference>
        </references>
      </pivotArea>
    </chartFormat>
    <chartFormat chart="18" format="15" series="1">
      <pivotArea type="data" outline="0" fieldPosition="0">
        <references count="1">
          <reference field="4294967294" count="1" selected="0">
            <x v="0"/>
          </reference>
        </references>
      </pivotArea>
    </chartFormat>
    <chartFormat chart="18" format="16">
      <pivotArea type="data" outline="0" fieldPosition="0">
        <references count="3">
          <reference field="4294967294" count="1" selected="0">
            <x v="0"/>
          </reference>
          <reference field="14" count="1" selected="0">
            <x v="12"/>
          </reference>
          <reference field="15" count="1" selected="0">
            <x v="1"/>
          </reference>
        </references>
      </pivotArea>
    </chartFormat>
    <chartFormat chart="18" format="17">
      <pivotArea type="data" outline="0" fieldPosition="0">
        <references count="3">
          <reference field="4294967294" count="1" selected="0">
            <x v="0"/>
          </reference>
          <reference field="14" count="1" selected="0">
            <x v="1"/>
          </reference>
          <reference field="15" count="1" selected="0">
            <x v="1"/>
          </reference>
        </references>
      </pivotArea>
    </chartFormat>
    <chartFormat chart="18" format="18">
      <pivotArea type="data" outline="0" fieldPosition="0">
        <references count="3">
          <reference field="4294967294" count="1" selected="0">
            <x v="0"/>
          </reference>
          <reference field="14" count="1" selected="0">
            <x v="2"/>
          </reference>
          <reference field="15" count="1" selected="0">
            <x v="1"/>
          </reference>
        </references>
      </pivotArea>
    </chartFormat>
    <chartFormat chart="18" format="19">
      <pivotArea type="data" outline="0" fieldPosition="0">
        <references count="3">
          <reference field="4294967294" count="1" selected="0">
            <x v="0"/>
          </reference>
          <reference field="14" count="1" selected="0">
            <x v="3"/>
          </reference>
          <reference field="15" count="1" selected="0">
            <x v="1"/>
          </reference>
        </references>
      </pivotArea>
    </chartFormat>
    <chartFormat chart="18" format="20">
      <pivotArea type="data" outline="0" fieldPosition="0">
        <references count="3">
          <reference field="4294967294" count="1" selected="0">
            <x v="0"/>
          </reference>
          <reference field="14" count="1" selected="0">
            <x v="4"/>
          </reference>
          <reference field="15" count="1" selected="0">
            <x v="1"/>
          </reference>
        </references>
      </pivotArea>
    </chartFormat>
    <chartFormat chart="18" format="21">
      <pivotArea type="data" outline="0" fieldPosition="0">
        <references count="3">
          <reference field="4294967294" count="1" selected="0">
            <x v="0"/>
          </reference>
          <reference field="14" count="1" selected="0">
            <x v="5"/>
          </reference>
          <reference field="15" count="1" selected="0">
            <x v="1"/>
          </reference>
        </references>
      </pivotArea>
    </chartFormat>
    <chartFormat chart="18" format="22">
      <pivotArea type="data" outline="0" fieldPosition="0">
        <references count="3">
          <reference field="4294967294" count="1" selected="0">
            <x v="0"/>
          </reference>
          <reference field="14" count="1" selected="0">
            <x v="6"/>
          </reference>
          <reference field="15" count="1" selected="0">
            <x v="1"/>
          </reference>
        </references>
      </pivotArea>
    </chartFormat>
    <chartFormat chart="18" format="23">
      <pivotArea type="data" outline="0" fieldPosition="0">
        <references count="3">
          <reference field="4294967294" count="1" selected="0">
            <x v="0"/>
          </reference>
          <reference field="14" count="1" selected="0">
            <x v="7"/>
          </reference>
          <reference field="15" count="1" selected="0">
            <x v="1"/>
          </reference>
        </references>
      </pivotArea>
    </chartFormat>
    <chartFormat chart="18" format="24">
      <pivotArea type="data" outline="0" fieldPosition="0">
        <references count="3">
          <reference field="4294967294" count="1" selected="0">
            <x v="0"/>
          </reference>
          <reference field="14" count="1" selected="0">
            <x v="8"/>
          </reference>
          <reference field="15" count="1" selected="0">
            <x v="1"/>
          </reference>
        </references>
      </pivotArea>
    </chartFormat>
    <chartFormat chart="18" format="25">
      <pivotArea type="data" outline="0" fieldPosition="0">
        <references count="3">
          <reference field="4294967294" count="1" selected="0">
            <x v="0"/>
          </reference>
          <reference field="14" count="1" selected="0">
            <x v="9"/>
          </reference>
          <reference field="15" count="1" selected="0">
            <x v="1"/>
          </reference>
        </references>
      </pivotArea>
    </chartFormat>
    <chartFormat chart="18" format="26">
      <pivotArea type="data" outline="0" fieldPosition="0">
        <references count="3">
          <reference field="4294967294" count="1" selected="0">
            <x v="0"/>
          </reference>
          <reference field="14" count="1" selected="0">
            <x v="10"/>
          </reference>
          <reference field="15" count="1" selected="0">
            <x v="1"/>
          </reference>
        </references>
      </pivotArea>
    </chartFormat>
    <chartFormat chart="18" format="27">
      <pivotArea type="data" outline="0" fieldPosition="0">
        <references count="3">
          <reference field="4294967294" count="1" selected="0">
            <x v="0"/>
          </reference>
          <reference field="14" count="1" selected="0">
            <x v="1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B6CB5-FA71-4D74-9951-04278A6B92FF}"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F7" firstHeaderRow="0" firstDataRow="1" firstDataCol="1"/>
  <pivotFields count="16">
    <pivotField showAll="0"/>
    <pivotField numFmtId="164" showAll="0">
      <items count="344">
        <item x="290"/>
        <item x="190"/>
        <item x="257"/>
        <item x="83"/>
        <item x="79"/>
        <item x="107"/>
        <item x="3"/>
        <item x="309"/>
        <item x="274"/>
        <item x="260"/>
        <item x="40"/>
        <item x="242"/>
        <item x="58"/>
        <item x="272"/>
        <item x="86"/>
        <item x="251"/>
        <item x="283"/>
        <item x="155"/>
        <item x="203"/>
        <item x="131"/>
        <item x="130"/>
        <item x="47"/>
        <item x="87"/>
        <item x="147"/>
        <item x="93"/>
        <item x="217"/>
        <item x="281"/>
        <item x="194"/>
        <item x="100"/>
        <item x="149"/>
        <item x="222"/>
        <item x="23"/>
        <item x="80"/>
        <item x="137"/>
        <item x="334"/>
        <item x="324"/>
        <item x="35"/>
        <item x="34"/>
        <item x="114"/>
        <item x="140"/>
        <item x="77"/>
        <item x="89"/>
        <item x="57"/>
        <item x="205"/>
        <item x="308"/>
        <item x="157"/>
        <item x="198"/>
        <item x="210"/>
        <item x="288"/>
        <item x="299"/>
        <item x="230"/>
        <item x="310"/>
        <item x="279"/>
        <item x="24"/>
        <item x="109"/>
        <item x="300"/>
        <item x="262"/>
        <item x="165"/>
        <item x="174"/>
        <item x="224"/>
        <item x="1"/>
        <item x="14"/>
        <item x="236"/>
        <item x="12"/>
        <item x="219"/>
        <item x="122"/>
        <item x="25"/>
        <item x="235"/>
        <item x="315"/>
        <item x="4"/>
        <item x="63"/>
        <item x="164"/>
        <item x="196"/>
        <item x="208"/>
        <item x="253"/>
        <item x="68"/>
        <item x="166"/>
        <item x="264"/>
        <item x="95"/>
        <item x="53"/>
        <item x="120"/>
        <item x="108"/>
        <item x="276"/>
        <item x="67"/>
        <item x="248"/>
        <item x="135"/>
        <item x="256"/>
        <item x="304"/>
        <item x="326"/>
        <item x="99"/>
        <item x="9"/>
        <item x="121"/>
        <item x="90"/>
        <item x="237"/>
        <item x="193"/>
        <item x="316"/>
        <item x="269"/>
        <item x="52"/>
        <item x="267"/>
        <item x="81"/>
        <item x="128"/>
        <item x="294"/>
        <item x="180"/>
        <item x="36"/>
        <item x="101"/>
        <item x="301"/>
        <item x="339"/>
        <item x="261"/>
        <item x="331"/>
        <item x="291"/>
        <item x="245"/>
        <item x="105"/>
        <item x="240"/>
        <item x="55"/>
        <item x="171"/>
        <item x="56"/>
        <item x="141"/>
        <item x="211"/>
        <item x="16"/>
        <item x="221"/>
        <item x="27"/>
        <item x="33"/>
        <item x="62"/>
        <item x="285"/>
        <item x="200"/>
        <item x="49"/>
        <item x="307"/>
        <item x="182"/>
        <item x="187"/>
        <item x="32"/>
        <item x="20"/>
        <item x="330"/>
        <item x="333"/>
        <item x="225"/>
        <item x="73"/>
        <item x="38"/>
        <item x="241"/>
        <item x="234"/>
        <item x="275"/>
        <item x="97"/>
        <item x="169"/>
        <item x="0"/>
        <item x="138"/>
        <item x="145"/>
        <item x="314"/>
        <item x="152"/>
        <item x="46"/>
        <item x="265"/>
        <item x="268"/>
        <item x="28"/>
        <item x="15"/>
        <item x="218"/>
        <item x="123"/>
        <item x="70"/>
        <item x="146"/>
        <item x="336"/>
        <item x="103"/>
        <item x="244"/>
        <item x="92"/>
        <item x="13"/>
        <item x="129"/>
        <item x="270"/>
        <item x="258"/>
        <item x="188"/>
        <item x="220"/>
        <item x="18"/>
        <item x="303"/>
        <item x="5"/>
        <item x="60"/>
        <item x="302"/>
        <item x="273"/>
        <item x="215"/>
        <item x="329"/>
        <item x="306"/>
        <item x="31"/>
        <item x="287"/>
        <item x="176"/>
        <item x="110"/>
        <item x="335"/>
        <item x="286"/>
        <item x="233"/>
        <item x="42"/>
        <item x="30"/>
        <item x="17"/>
        <item x="75"/>
        <item x="212"/>
        <item x="246"/>
        <item x="226"/>
        <item x="227"/>
        <item x="117"/>
        <item x="118"/>
        <item x="142"/>
        <item x="48"/>
        <item x="206"/>
        <item x="263"/>
        <item x="78"/>
        <item x="280"/>
        <item x="213"/>
        <item x="338"/>
        <item x="332"/>
        <item x="144"/>
        <item x="91"/>
        <item x="340"/>
        <item x="311"/>
        <item x="278"/>
        <item x="296"/>
        <item x="112"/>
        <item x="111"/>
        <item x="22"/>
        <item x="160"/>
        <item x="319"/>
        <item x="136"/>
        <item x="197"/>
        <item x="156"/>
        <item x="82"/>
        <item x="247"/>
        <item x="26"/>
        <item x="168"/>
        <item x="104"/>
        <item x="143"/>
        <item x="64"/>
        <item x="124"/>
        <item x="192"/>
        <item x="323"/>
        <item x="271"/>
        <item x="243"/>
        <item x="312"/>
        <item x="72"/>
        <item x="50"/>
        <item x="158"/>
        <item x="173"/>
        <item x="202"/>
        <item x="255"/>
        <item x="59"/>
        <item x="254"/>
        <item x="132"/>
        <item x="84"/>
        <item x="6"/>
        <item x="277"/>
        <item x="214"/>
        <item x="127"/>
        <item x="159"/>
        <item x="186"/>
        <item x="163"/>
        <item x="21"/>
        <item x="116"/>
        <item x="284"/>
        <item x="76"/>
        <item x="295"/>
        <item x="61"/>
        <item x="317"/>
        <item x="313"/>
        <item x="195"/>
        <item x="19"/>
        <item x="179"/>
        <item x="328"/>
        <item x="134"/>
        <item x="71"/>
        <item x="139"/>
        <item x="51"/>
        <item x="94"/>
        <item x="2"/>
        <item x="229"/>
        <item x="29"/>
        <item x="327"/>
        <item x="250"/>
        <item x="88"/>
        <item x="282"/>
        <item x="44"/>
        <item x="85"/>
        <item x="54"/>
        <item x="43"/>
        <item x="209"/>
        <item x="150"/>
        <item x="318"/>
        <item x="161"/>
        <item x="266"/>
        <item x="297"/>
        <item x="167"/>
        <item x="96"/>
        <item x="292"/>
        <item x="239"/>
        <item x="119"/>
        <item x="151"/>
        <item x="65"/>
        <item x="249"/>
        <item x="183"/>
        <item x="320"/>
        <item x="199"/>
        <item x="184"/>
        <item x="293"/>
        <item x="231"/>
        <item x="162"/>
        <item x="178"/>
        <item x="37"/>
        <item x="172"/>
        <item x="259"/>
        <item x="321"/>
        <item x="11"/>
        <item x="189"/>
        <item x="148"/>
        <item x="325"/>
        <item x="126"/>
        <item x="207"/>
        <item x="191"/>
        <item x="66"/>
        <item x="223"/>
        <item x="322"/>
        <item x="8"/>
        <item x="39"/>
        <item x="10"/>
        <item x="177"/>
        <item x="216"/>
        <item x="175"/>
        <item x="98"/>
        <item x="41"/>
        <item x="113"/>
        <item x="74"/>
        <item x="153"/>
        <item x="201"/>
        <item x="181"/>
        <item x="252"/>
        <item x="289"/>
        <item x="106"/>
        <item x="342"/>
        <item x="232"/>
        <item x="133"/>
        <item x="69"/>
        <item x="305"/>
        <item x="298"/>
        <item x="185"/>
        <item x="337"/>
        <item x="102"/>
        <item x="228"/>
        <item x="125"/>
        <item x="7"/>
        <item x="341"/>
        <item x="115"/>
        <item x="154"/>
        <item x="238"/>
        <item x="170"/>
        <item x="204"/>
        <item x="45"/>
        <item t="default"/>
      </items>
    </pivotField>
    <pivotField axis="axisRow" showAll="0">
      <items count="5">
        <item x="3"/>
        <item x="1"/>
        <item x="2"/>
        <item x="0"/>
        <item t="default"/>
      </items>
    </pivotField>
    <pivotField showAll="0"/>
    <pivotField showAll="0"/>
    <pivotField showAll="0">
      <items count="5">
        <item x="0"/>
        <item x="2"/>
        <item x="3"/>
        <item x="1"/>
        <item t="default"/>
      </items>
    </pivotField>
    <pivotField dataField="1"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5">
    <i>
      <x/>
    </i>
    <i>
      <x v="1"/>
    </i>
    <i>
      <x v="2"/>
    </i>
    <i>
      <x v="3"/>
    </i>
    <i t="grand">
      <x/>
    </i>
  </rowItems>
  <colFields count="1">
    <field x="-2"/>
  </colFields>
  <colItems count="2">
    <i>
      <x/>
    </i>
    <i i="1">
      <x v="1"/>
    </i>
  </colItems>
  <dataFields count="2">
    <dataField name="Sum of Revenue" fld="8"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316611-1E0A-4E3E-B750-C89C5B2FC3F5}" name="Inventory Aler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3:E16" firstHeaderRow="1" firstDataRow="1" firstDataCol="1"/>
  <pivotFields count="16">
    <pivotField dataField="1" showAll="0"/>
    <pivotField numFmtId="164" showAll="0">
      <items count="344">
        <item x="290"/>
        <item x="190"/>
        <item x="257"/>
        <item x="83"/>
        <item x="79"/>
        <item x="107"/>
        <item x="3"/>
        <item x="309"/>
        <item x="274"/>
        <item x="260"/>
        <item x="40"/>
        <item x="242"/>
        <item x="58"/>
        <item x="272"/>
        <item x="86"/>
        <item x="251"/>
        <item x="283"/>
        <item x="155"/>
        <item x="203"/>
        <item x="131"/>
        <item x="130"/>
        <item x="47"/>
        <item x="87"/>
        <item x="147"/>
        <item x="93"/>
        <item x="217"/>
        <item x="281"/>
        <item x="194"/>
        <item x="100"/>
        <item x="149"/>
        <item x="222"/>
        <item x="23"/>
        <item x="80"/>
        <item x="137"/>
        <item x="334"/>
        <item x="324"/>
        <item x="35"/>
        <item x="34"/>
        <item x="114"/>
        <item x="140"/>
        <item x="77"/>
        <item x="89"/>
        <item x="57"/>
        <item x="205"/>
        <item x="308"/>
        <item x="157"/>
        <item x="198"/>
        <item x="210"/>
        <item x="288"/>
        <item x="299"/>
        <item x="230"/>
        <item x="310"/>
        <item x="279"/>
        <item x="24"/>
        <item x="109"/>
        <item x="300"/>
        <item x="262"/>
        <item x="165"/>
        <item x="174"/>
        <item x="224"/>
        <item x="1"/>
        <item x="14"/>
        <item x="236"/>
        <item x="12"/>
        <item x="219"/>
        <item x="122"/>
        <item x="25"/>
        <item x="235"/>
        <item x="315"/>
        <item x="4"/>
        <item x="63"/>
        <item x="164"/>
        <item x="196"/>
        <item x="208"/>
        <item x="253"/>
        <item x="68"/>
        <item x="166"/>
        <item x="264"/>
        <item x="95"/>
        <item x="53"/>
        <item x="120"/>
        <item x="108"/>
        <item x="276"/>
        <item x="67"/>
        <item x="248"/>
        <item x="135"/>
        <item x="256"/>
        <item x="304"/>
        <item x="326"/>
        <item x="99"/>
        <item x="9"/>
        <item x="121"/>
        <item x="90"/>
        <item x="237"/>
        <item x="193"/>
        <item x="316"/>
        <item x="269"/>
        <item x="52"/>
        <item x="267"/>
        <item x="81"/>
        <item x="128"/>
        <item x="294"/>
        <item x="180"/>
        <item x="36"/>
        <item x="101"/>
        <item x="301"/>
        <item x="339"/>
        <item x="261"/>
        <item x="331"/>
        <item x="291"/>
        <item x="245"/>
        <item x="105"/>
        <item x="240"/>
        <item x="55"/>
        <item x="171"/>
        <item x="56"/>
        <item x="141"/>
        <item x="211"/>
        <item x="16"/>
        <item x="221"/>
        <item x="27"/>
        <item x="33"/>
        <item x="62"/>
        <item x="285"/>
        <item x="200"/>
        <item x="49"/>
        <item x="307"/>
        <item x="182"/>
        <item x="187"/>
        <item x="32"/>
        <item x="20"/>
        <item x="330"/>
        <item x="333"/>
        <item x="225"/>
        <item x="73"/>
        <item x="38"/>
        <item x="241"/>
        <item x="234"/>
        <item x="275"/>
        <item x="97"/>
        <item x="169"/>
        <item x="0"/>
        <item x="138"/>
        <item x="145"/>
        <item x="314"/>
        <item x="152"/>
        <item x="46"/>
        <item x="265"/>
        <item x="268"/>
        <item x="28"/>
        <item x="15"/>
        <item x="218"/>
        <item x="123"/>
        <item x="70"/>
        <item x="146"/>
        <item x="336"/>
        <item x="103"/>
        <item x="244"/>
        <item x="92"/>
        <item x="13"/>
        <item x="129"/>
        <item x="270"/>
        <item x="258"/>
        <item x="188"/>
        <item x="220"/>
        <item x="18"/>
        <item x="303"/>
        <item x="5"/>
        <item x="60"/>
        <item x="302"/>
        <item x="273"/>
        <item x="215"/>
        <item x="329"/>
        <item x="306"/>
        <item x="31"/>
        <item x="287"/>
        <item x="176"/>
        <item x="110"/>
        <item x="335"/>
        <item x="286"/>
        <item x="233"/>
        <item x="42"/>
        <item x="30"/>
        <item x="17"/>
        <item x="75"/>
        <item x="212"/>
        <item x="246"/>
        <item x="226"/>
        <item x="227"/>
        <item x="117"/>
        <item x="118"/>
        <item x="142"/>
        <item x="48"/>
        <item x="206"/>
        <item x="263"/>
        <item x="78"/>
        <item x="280"/>
        <item x="213"/>
        <item x="338"/>
        <item x="332"/>
        <item x="144"/>
        <item x="91"/>
        <item x="340"/>
        <item x="311"/>
        <item x="278"/>
        <item x="296"/>
        <item x="112"/>
        <item x="111"/>
        <item x="22"/>
        <item x="160"/>
        <item x="319"/>
        <item x="136"/>
        <item x="197"/>
        <item x="156"/>
        <item x="82"/>
        <item x="247"/>
        <item x="26"/>
        <item x="168"/>
        <item x="104"/>
        <item x="143"/>
        <item x="64"/>
        <item x="124"/>
        <item x="192"/>
        <item x="323"/>
        <item x="271"/>
        <item x="243"/>
        <item x="312"/>
        <item x="72"/>
        <item x="50"/>
        <item x="158"/>
        <item x="173"/>
        <item x="202"/>
        <item x="255"/>
        <item x="59"/>
        <item x="254"/>
        <item x="132"/>
        <item x="84"/>
        <item x="6"/>
        <item x="277"/>
        <item x="214"/>
        <item x="127"/>
        <item x="159"/>
        <item x="186"/>
        <item x="163"/>
        <item x="21"/>
        <item x="116"/>
        <item x="284"/>
        <item x="76"/>
        <item x="295"/>
        <item x="61"/>
        <item x="317"/>
        <item x="313"/>
        <item x="195"/>
        <item x="19"/>
        <item x="179"/>
        <item x="328"/>
        <item x="134"/>
        <item x="71"/>
        <item x="139"/>
        <item x="51"/>
        <item x="94"/>
        <item x="2"/>
        <item x="229"/>
        <item x="29"/>
        <item x="327"/>
        <item x="250"/>
        <item x="88"/>
        <item x="282"/>
        <item x="44"/>
        <item x="85"/>
        <item x="54"/>
        <item x="43"/>
        <item x="209"/>
        <item x="150"/>
        <item x="318"/>
        <item x="161"/>
        <item x="266"/>
        <item x="297"/>
        <item x="167"/>
        <item x="96"/>
        <item x="292"/>
        <item x="239"/>
        <item x="119"/>
        <item x="151"/>
        <item x="65"/>
        <item x="249"/>
        <item x="183"/>
        <item x="320"/>
        <item x="199"/>
        <item x="184"/>
        <item x="293"/>
        <item x="231"/>
        <item x="162"/>
        <item x="178"/>
        <item x="37"/>
        <item x="172"/>
        <item x="259"/>
        <item x="321"/>
        <item x="11"/>
        <item x="189"/>
        <item x="148"/>
        <item x="325"/>
        <item x="126"/>
        <item x="207"/>
        <item x="191"/>
        <item x="66"/>
        <item x="223"/>
        <item x="322"/>
        <item x="8"/>
        <item x="39"/>
        <item x="10"/>
        <item x="177"/>
        <item x="216"/>
        <item x="175"/>
        <item x="98"/>
        <item x="41"/>
        <item x="113"/>
        <item x="74"/>
        <item x="153"/>
        <item x="201"/>
        <item x="181"/>
        <item x="252"/>
        <item x="289"/>
        <item x="106"/>
        <item x="342"/>
        <item x="232"/>
        <item x="133"/>
        <item x="69"/>
        <item x="305"/>
        <item x="298"/>
        <item x="185"/>
        <item x="337"/>
        <item x="102"/>
        <item x="228"/>
        <item x="125"/>
        <item x="7"/>
        <item x="341"/>
        <item x="115"/>
        <item x="154"/>
        <item x="238"/>
        <item x="170"/>
        <item x="204"/>
        <item x="45"/>
        <item t="default"/>
      </items>
    </pivotField>
    <pivotField showAll="0">
      <items count="5">
        <item x="3"/>
        <item x="1"/>
        <item x="2"/>
        <item x="0"/>
        <item t="default"/>
      </items>
    </pivotField>
    <pivotField showAll="0"/>
    <pivotField showAll="0"/>
    <pivotField showAll="0">
      <items count="5">
        <item x="0"/>
        <item x="2"/>
        <item x="3"/>
        <item x="1"/>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3">
    <i>
      <x/>
    </i>
    <i>
      <x v="1"/>
    </i>
    <i t="grand">
      <x/>
    </i>
  </rowItems>
  <colItems count="1">
    <i/>
  </colItems>
  <dataFields count="1">
    <dataField name="Count of Order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80AAC4-F63C-400F-B59A-5C443156EA75}" name="Supplier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I7" firstHeaderRow="1" firstDataRow="1" firstDataCol="1"/>
  <pivotFields count="16">
    <pivotField showAll="0"/>
    <pivotField numFmtId="164" showAll="0">
      <items count="344">
        <item x="290"/>
        <item x="190"/>
        <item x="257"/>
        <item x="83"/>
        <item x="79"/>
        <item x="107"/>
        <item x="3"/>
        <item x="309"/>
        <item x="274"/>
        <item x="260"/>
        <item x="40"/>
        <item x="242"/>
        <item x="58"/>
        <item x="272"/>
        <item x="86"/>
        <item x="251"/>
        <item x="283"/>
        <item x="155"/>
        <item x="203"/>
        <item x="131"/>
        <item x="130"/>
        <item x="47"/>
        <item x="87"/>
        <item x="147"/>
        <item x="93"/>
        <item x="217"/>
        <item x="281"/>
        <item x="194"/>
        <item x="100"/>
        <item x="149"/>
        <item x="222"/>
        <item x="23"/>
        <item x="80"/>
        <item x="137"/>
        <item x="334"/>
        <item x="324"/>
        <item x="35"/>
        <item x="34"/>
        <item x="114"/>
        <item x="140"/>
        <item x="77"/>
        <item x="89"/>
        <item x="57"/>
        <item x="205"/>
        <item x="308"/>
        <item x="157"/>
        <item x="198"/>
        <item x="210"/>
        <item x="288"/>
        <item x="299"/>
        <item x="230"/>
        <item x="310"/>
        <item x="279"/>
        <item x="24"/>
        <item x="109"/>
        <item x="300"/>
        <item x="262"/>
        <item x="165"/>
        <item x="174"/>
        <item x="224"/>
        <item x="1"/>
        <item x="14"/>
        <item x="236"/>
        <item x="12"/>
        <item x="219"/>
        <item x="122"/>
        <item x="25"/>
        <item x="235"/>
        <item x="315"/>
        <item x="4"/>
        <item x="63"/>
        <item x="164"/>
        <item x="196"/>
        <item x="208"/>
        <item x="253"/>
        <item x="68"/>
        <item x="166"/>
        <item x="264"/>
        <item x="95"/>
        <item x="53"/>
        <item x="120"/>
        <item x="108"/>
        <item x="276"/>
        <item x="67"/>
        <item x="248"/>
        <item x="135"/>
        <item x="256"/>
        <item x="304"/>
        <item x="326"/>
        <item x="99"/>
        <item x="9"/>
        <item x="121"/>
        <item x="90"/>
        <item x="237"/>
        <item x="193"/>
        <item x="316"/>
        <item x="269"/>
        <item x="52"/>
        <item x="267"/>
        <item x="81"/>
        <item x="128"/>
        <item x="294"/>
        <item x="180"/>
        <item x="36"/>
        <item x="101"/>
        <item x="301"/>
        <item x="339"/>
        <item x="261"/>
        <item x="331"/>
        <item x="291"/>
        <item x="245"/>
        <item x="105"/>
        <item x="240"/>
        <item x="55"/>
        <item x="171"/>
        <item x="56"/>
        <item x="141"/>
        <item x="211"/>
        <item x="16"/>
        <item x="221"/>
        <item x="27"/>
        <item x="33"/>
        <item x="62"/>
        <item x="285"/>
        <item x="200"/>
        <item x="49"/>
        <item x="307"/>
        <item x="182"/>
        <item x="187"/>
        <item x="32"/>
        <item x="20"/>
        <item x="330"/>
        <item x="333"/>
        <item x="225"/>
        <item x="73"/>
        <item x="38"/>
        <item x="241"/>
        <item x="234"/>
        <item x="275"/>
        <item x="97"/>
        <item x="169"/>
        <item x="0"/>
        <item x="138"/>
        <item x="145"/>
        <item x="314"/>
        <item x="152"/>
        <item x="46"/>
        <item x="265"/>
        <item x="268"/>
        <item x="28"/>
        <item x="15"/>
        <item x="218"/>
        <item x="123"/>
        <item x="70"/>
        <item x="146"/>
        <item x="336"/>
        <item x="103"/>
        <item x="244"/>
        <item x="92"/>
        <item x="13"/>
        <item x="129"/>
        <item x="270"/>
        <item x="258"/>
        <item x="188"/>
        <item x="220"/>
        <item x="18"/>
        <item x="303"/>
        <item x="5"/>
        <item x="60"/>
        <item x="302"/>
        <item x="273"/>
        <item x="215"/>
        <item x="329"/>
        <item x="306"/>
        <item x="31"/>
        <item x="287"/>
        <item x="176"/>
        <item x="110"/>
        <item x="335"/>
        <item x="286"/>
        <item x="233"/>
        <item x="42"/>
        <item x="30"/>
        <item x="17"/>
        <item x="75"/>
        <item x="212"/>
        <item x="246"/>
        <item x="226"/>
        <item x="227"/>
        <item x="117"/>
        <item x="118"/>
        <item x="142"/>
        <item x="48"/>
        <item x="206"/>
        <item x="263"/>
        <item x="78"/>
        <item x="280"/>
        <item x="213"/>
        <item x="338"/>
        <item x="332"/>
        <item x="144"/>
        <item x="91"/>
        <item x="340"/>
        <item x="311"/>
        <item x="278"/>
        <item x="296"/>
        <item x="112"/>
        <item x="111"/>
        <item x="22"/>
        <item x="160"/>
        <item x="319"/>
        <item x="136"/>
        <item x="197"/>
        <item x="156"/>
        <item x="82"/>
        <item x="247"/>
        <item x="26"/>
        <item x="168"/>
        <item x="104"/>
        <item x="143"/>
        <item x="64"/>
        <item x="124"/>
        <item x="192"/>
        <item x="323"/>
        <item x="271"/>
        <item x="243"/>
        <item x="312"/>
        <item x="72"/>
        <item x="50"/>
        <item x="158"/>
        <item x="173"/>
        <item x="202"/>
        <item x="255"/>
        <item x="59"/>
        <item x="254"/>
        <item x="132"/>
        <item x="84"/>
        <item x="6"/>
        <item x="277"/>
        <item x="214"/>
        <item x="127"/>
        <item x="159"/>
        <item x="186"/>
        <item x="163"/>
        <item x="21"/>
        <item x="116"/>
        <item x="284"/>
        <item x="76"/>
        <item x="295"/>
        <item x="61"/>
        <item x="317"/>
        <item x="313"/>
        <item x="195"/>
        <item x="19"/>
        <item x="179"/>
        <item x="328"/>
        <item x="134"/>
        <item x="71"/>
        <item x="139"/>
        <item x="51"/>
        <item x="94"/>
        <item x="2"/>
        <item x="229"/>
        <item x="29"/>
        <item x="327"/>
        <item x="250"/>
        <item x="88"/>
        <item x="282"/>
        <item x="44"/>
        <item x="85"/>
        <item x="54"/>
        <item x="43"/>
        <item x="209"/>
        <item x="150"/>
        <item x="318"/>
        <item x="161"/>
        <item x="266"/>
        <item x="297"/>
        <item x="167"/>
        <item x="96"/>
        <item x="292"/>
        <item x="239"/>
        <item x="119"/>
        <item x="151"/>
        <item x="65"/>
        <item x="249"/>
        <item x="183"/>
        <item x="320"/>
        <item x="199"/>
        <item x="184"/>
        <item x="293"/>
        <item x="231"/>
        <item x="162"/>
        <item x="178"/>
        <item x="37"/>
        <item x="172"/>
        <item x="259"/>
        <item x="321"/>
        <item x="11"/>
        <item x="189"/>
        <item x="148"/>
        <item x="325"/>
        <item x="126"/>
        <item x="207"/>
        <item x="191"/>
        <item x="66"/>
        <item x="223"/>
        <item x="322"/>
        <item x="8"/>
        <item x="39"/>
        <item x="10"/>
        <item x="177"/>
        <item x="216"/>
        <item x="175"/>
        <item x="98"/>
        <item x="41"/>
        <item x="113"/>
        <item x="74"/>
        <item x="153"/>
        <item x="201"/>
        <item x="181"/>
        <item x="252"/>
        <item x="289"/>
        <item x="106"/>
        <item x="342"/>
        <item x="232"/>
        <item x="133"/>
        <item x="69"/>
        <item x="305"/>
        <item x="298"/>
        <item x="185"/>
        <item x="337"/>
        <item x="102"/>
        <item x="228"/>
        <item x="125"/>
        <item x="7"/>
        <item x="341"/>
        <item x="115"/>
        <item x="154"/>
        <item x="238"/>
        <item x="170"/>
        <item x="204"/>
        <item x="45"/>
        <item t="default"/>
      </items>
    </pivotField>
    <pivotField showAll="0">
      <items count="5">
        <item x="3"/>
        <item x="1"/>
        <item x="2"/>
        <item x="0"/>
        <item t="default"/>
      </items>
    </pivotField>
    <pivotField showAll="0"/>
    <pivotField showAll="0"/>
    <pivotField axis="axisRow" showAll="0" sortType="descending">
      <items count="5">
        <item x="1"/>
        <item x="3"/>
        <item x="2"/>
        <item x="0"/>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Sum of Revenue" fld="8" baseField="0" baseItem="0"/>
  </dataFields>
  <chartFormats count="3">
    <chartFormat chart="0"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AACBFE-9D16-475A-B495-11BF451799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13:I18" firstHeaderRow="1" firstDataRow="1" firstDataCol="1"/>
  <pivotFields count="16">
    <pivotField showAll="0"/>
    <pivotField numFmtId="164" showAll="0">
      <items count="344">
        <item x="290"/>
        <item x="190"/>
        <item x="257"/>
        <item x="83"/>
        <item x="79"/>
        <item x="107"/>
        <item x="3"/>
        <item x="309"/>
        <item x="274"/>
        <item x="260"/>
        <item x="40"/>
        <item x="242"/>
        <item x="58"/>
        <item x="272"/>
        <item x="86"/>
        <item x="251"/>
        <item x="283"/>
        <item x="155"/>
        <item x="203"/>
        <item x="131"/>
        <item x="130"/>
        <item x="47"/>
        <item x="87"/>
        <item x="147"/>
        <item x="93"/>
        <item x="217"/>
        <item x="281"/>
        <item x="194"/>
        <item x="100"/>
        <item x="149"/>
        <item x="222"/>
        <item x="23"/>
        <item x="80"/>
        <item x="137"/>
        <item x="334"/>
        <item x="324"/>
        <item x="35"/>
        <item x="34"/>
        <item x="114"/>
        <item x="140"/>
        <item x="77"/>
        <item x="89"/>
        <item x="57"/>
        <item x="205"/>
        <item x="308"/>
        <item x="157"/>
        <item x="198"/>
        <item x="210"/>
        <item x="288"/>
        <item x="299"/>
        <item x="230"/>
        <item x="310"/>
        <item x="279"/>
        <item x="24"/>
        <item x="109"/>
        <item x="300"/>
        <item x="262"/>
        <item x="165"/>
        <item x="174"/>
        <item x="224"/>
        <item x="1"/>
        <item x="14"/>
        <item x="236"/>
        <item x="12"/>
        <item x="219"/>
        <item x="122"/>
        <item x="25"/>
        <item x="235"/>
        <item x="315"/>
        <item x="4"/>
        <item x="63"/>
        <item x="164"/>
        <item x="196"/>
        <item x="208"/>
        <item x="253"/>
        <item x="68"/>
        <item x="166"/>
        <item x="264"/>
        <item x="95"/>
        <item x="53"/>
        <item x="120"/>
        <item x="108"/>
        <item x="276"/>
        <item x="67"/>
        <item x="248"/>
        <item x="135"/>
        <item x="256"/>
        <item x="304"/>
        <item x="326"/>
        <item x="99"/>
        <item x="9"/>
        <item x="121"/>
        <item x="90"/>
        <item x="237"/>
        <item x="193"/>
        <item x="316"/>
        <item x="269"/>
        <item x="52"/>
        <item x="267"/>
        <item x="81"/>
        <item x="128"/>
        <item x="294"/>
        <item x="180"/>
        <item x="36"/>
        <item x="101"/>
        <item x="301"/>
        <item x="339"/>
        <item x="261"/>
        <item x="331"/>
        <item x="291"/>
        <item x="245"/>
        <item x="105"/>
        <item x="240"/>
        <item x="55"/>
        <item x="171"/>
        <item x="56"/>
        <item x="141"/>
        <item x="211"/>
        <item x="16"/>
        <item x="221"/>
        <item x="27"/>
        <item x="33"/>
        <item x="62"/>
        <item x="285"/>
        <item x="200"/>
        <item x="49"/>
        <item x="307"/>
        <item x="182"/>
        <item x="187"/>
        <item x="32"/>
        <item x="20"/>
        <item x="330"/>
        <item x="333"/>
        <item x="225"/>
        <item x="73"/>
        <item x="38"/>
        <item x="241"/>
        <item x="234"/>
        <item x="275"/>
        <item x="97"/>
        <item x="169"/>
        <item x="0"/>
        <item x="138"/>
        <item x="145"/>
        <item x="314"/>
        <item x="152"/>
        <item x="46"/>
        <item x="265"/>
        <item x="268"/>
        <item x="28"/>
        <item x="15"/>
        <item x="218"/>
        <item x="123"/>
        <item x="70"/>
        <item x="146"/>
        <item x="336"/>
        <item x="103"/>
        <item x="244"/>
        <item x="92"/>
        <item x="13"/>
        <item x="129"/>
        <item x="270"/>
        <item x="258"/>
        <item x="188"/>
        <item x="220"/>
        <item x="18"/>
        <item x="303"/>
        <item x="5"/>
        <item x="60"/>
        <item x="302"/>
        <item x="273"/>
        <item x="215"/>
        <item x="329"/>
        <item x="306"/>
        <item x="31"/>
        <item x="287"/>
        <item x="176"/>
        <item x="110"/>
        <item x="335"/>
        <item x="286"/>
        <item x="233"/>
        <item x="42"/>
        <item x="30"/>
        <item x="17"/>
        <item x="75"/>
        <item x="212"/>
        <item x="246"/>
        <item x="226"/>
        <item x="227"/>
        <item x="117"/>
        <item x="118"/>
        <item x="142"/>
        <item x="48"/>
        <item x="206"/>
        <item x="263"/>
        <item x="78"/>
        <item x="280"/>
        <item x="213"/>
        <item x="338"/>
        <item x="332"/>
        <item x="144"/>
        <item x="91"/>
        <item x="340"/>
        <item x="311"/>
        <item x="278"/>
        <item x="296"/>
        <item x="112"/>
        <item x="111"/>
        <item x="22"/>
        <item x="160"/>
        <item x="319"/>
        <item x="136"/>
        <item x="197"/>
        <item x="156"/>
        <item x="82"/>
        <item x="247"/>
        <item x="26"/>
        <item x="168"/>
        <item x="104"/>
        <item x="143"/>
        <item x="64"/>
        <item x="124"/>
        <item x="192"/>
        <item x="323"/>
        <item x="271"/>
        <item x="243"/>
        <item x="312"/>
        <item x="72"/>
        <item x="50"/>
        <item x="158"/>
        <item x="173"/>
        <item x="202"/>
        <item x="255"/>
        <item x="59"/>
        <item x="254"/>
        <item x="132"/>
        <item x="84"/>
        <item x="6"/>
        <item x="277"/>
        <item x="214"/>
        <item x="127"/>
        <item x="159"/>
        <item x="186"/>
        <item x="163"/>
        <item x="21"/>
        <item x="116"/>
        <item x="284"/>
        <item x="76"/>
        <item x="295"/>
        <item x="61"/>
        <item x="317"/>
        <item x="313"/>
        <item x="195"/>
        <item x="19"/>
        <item x="179"/>
        <item x="328"/>
        <item x="134"/>
        <item x="71"/>
        <item x="139"/>
        <item x="51"/>
        <item x="94"/>
        <item x="2"/>
        <item x="229"/>
        <item x="29"/>
        <item x="327"/>
        <item x="250"/>
        <item x="88"/>
        <item x="282"/>
        <item x="44"/>
        <item x="85"/>
        <item x="54"/>
        <item x="43"/>
        <item x="209"/>
        <item x="150"/>
        <item x="318"/>
        <item x="161"/>
        <item x="266"/>
        <item x="297"/>
        <item x="167"/>
        <item x="96"/>
        <item x="292"/>
        <item x="239"/>
        <item x="119"/>
        <item x="151"/>
        <item x="65"/>
        <item x="249"/>
        <item x="183"/>
        <item x="320"/>
        <item x="199"/>
        <item x="184"/>
        <item x="293"/>
        <item x="231"/>
        <item x="162"/>
        <item x="178"/>
        <item x="37"/>
        <item x="172"/>
        <item x="259"/>
        <item x="321"/>
        <item x="11"/>
        <item x="189"/>
        <item x="148"/>
        <item x="325"/>
        <item x="126"/>
        <item x="207"/>
        <item x="191"/>
        <item x="66"/>
        <item x="223"/>
        <item x="322"/>
        <item x="8"/>
        <item x="39"/>
        <item x="10"/>
        <item x="177"/>
        <item x="216"/>
        <item x="175"/>
        <item x="98"/>
        <item x="41"/>
        <item x="113"/>
        <item x="74"/>
        <item x="153"/>
        <item x="201"/>
        <item x="181"/>
        <item x="252"/>
        <item x="289"/>
        <item x="106"/>
        <item x="342"/>
        <item x="232"/>
        <item x="133"/>
        <item x="69"/>
        <item x="305"/>
        <item x="298"/>
        <item x="185"/>
        <item x="337"/>
        <item x="102"/>
        <item x="228"/>
        <item x="125"/>
        <item x="7"/>
        <item x="341"/>
        <item x="115"/>
        <item x="154"/>
        <item x="238"/>
        <item x="170"/>
        <item x="204"/>
        <item x="45"/>
        <item t="default"/>
      </items>
    </pivotField>
    <pivotField showAll="0">
      <items count="5">
        <item x="3"/>
        <item x="1"/>
        <item x="2"/>
        <item x="0"/>
        <item t="default"/>
      </items>
    </pivotField>
    <pivotField showAll="0"/>
    <pivotField showAll="0"/>
    <pivotField axis="axisRow" showAll="0">
      <items count="5">
        <item x="0"/>
        <item x="2"/>
        <item x="3"/>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Average of Delivery_Days" fld="10" subtotal="average" baseField="5" baseItem="0"/>
  </dataFields>
  <formats count="1">
    <format dxfId="13">
      <pivotArea collapsedLevelsAreSubtotals="1" fieldPosition="0">
        <references count="1">
          <reference field="5" count="0"/>
        </references>
      </pivotArea>
    </format>
  </format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5"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5"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505C989-81A2-4CF4-BC78-0FDBEB50A5D0}" sourceName="Supplier">
  <pivotTables>
    <pivotTable tabId="2" name="Regional Performance"/>
    <pivotTable tabId="2" name="Inventory Alerts"/>
    <pivotTable tabId="2" name="Monthly Revenue"/>
    <pivotTable tabId="2" name="PivotTable1"/>
    <pivotTable tabId="2" name="Supplier Performance"/>
  </pivotTables>
  <data>
    <tabular pivotCacheId="179242995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52D91-992D-45B8-B709-C4A3CF8E1B12}" sourceName="Region">
  <pivotTables>
    <pivotTable tabId="2" name="Regional Performance"/>
    <pivotTable tabId="2" name="Inventory Alerts"/>
    <pivotTable tabId="2" name="Monthly Revenue"/>
    <pivotTable tabId="2" name="PivotTable1"/>
    <pivotTable tabId="2" name="Supplier Performance"/>
  </pivotTables>
  <data>
    <tabular pivotCacheId="179242995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41CB1E9C-140D-4BBF-B925-0157F26F175C}" cache="Slicer_Supplier" showCaption="0" style="SlicerStyleDark3" rowHeight="324000"/>
  <slicer name="Region" xr10:uid="{FEA2F487-9D83-4E94-9246-4D30CCCBA099}" cache="Slicer_Region" caption="Region" showCaption="0" style="SlicerStyleDark3"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35" zoomScaleNormal="100" workbookViewId="0">
      <selection activeCell="J40" sqref="J40"/>
    </sheetView>
  </sheetViews>
  <sheetFormatPr defaultRowHeight="14.4" x14ac:dyDescent="0.3"/>
  <cols>
    <col min="2" max="2" width="15.109375" customWidth="1"/>
    <col min="10" max="10" width="11.5546875" customWidth="1"/>
  </cols>
  <sheetData>
    <row r="1" spans="1:14" x14ac:dyDescent="0.3">
      <c r="A1" t="s">
        <v>0</v>
      </c>
      <c r="B1" t="s">
        <v>1</v>
      </c>
      <c r="C1" t="s">
        <v>2</v>
      </c>
      <c r="D1" t="s">
        <v>3</v>
      </c>
      <c r="E1" t="s">
        <v>4</v>
      </c>
      <c r="F1" t="s">
        <v>5</v>
      </c>
      <c r="G1" t="s">
        <v>6</v>
      </c>
      <c r="H1" t="s">
        <v>7</v>
      </c>
      <c r="I1" t="s">
        <v>8</v>
      </c>
      <c r="J1" t="s">
        <v>9</v>
      </c>
      <c r="K1" t="s">
        <v>10</v>
      </c>
      <c r="L1" t="s">
        <v>11</v>
      </c>
      <c r="M1" t="s">
        <v>1042</v>
      </c>
      <c r="N1" t="s">
        <v>1043</v>
      </c>
    </row>
    <row r="2" spans="1:14" x14ac:dyDescent="0.3">
      <c r="A2" t="s">
        <v>12</v>
      </c>
      <c r="B2" s="1">
        <v>45806</v>
      </c>
      <c r="C2" t="s">
        <v>13</v>
      </c>
      <c r="D2" t="s">
        <v>14</v>
      </c>
      <c r="E2" t="s">
        <v>15</v>
      </c>
      <c r="F2" t="s">
        <v>16</v>
      </c>
      <c r="G2">
        <v>45</v>
      </c>
      <c r="H2">
        <v>2447</v>
      </c>
      <c r="I2">
        <v>110115</v>
      </c>
      <c r="J2">
        <v>204</v>
      </c>
      <c r="K2">
        <v>6</v>
      </c>
      <c r="L2" t="s">
        <v>17</v>
      </c>
      <c r="M2" t="str">
        <f>IF(J2&lt;50,"Reorder","Available")</f>
        <v>Available</v>
      </c>
      <c r="N2">
        <f>I2*20%</f>
        <v>22023</v>
      </c>
    </row>
    <row r="3" spans="1:14" x14ac:dyDescent="0.3">
      <c r="A3" t="s">
        <v>18</v>
      </c>
      <c r="B3" s="1">
        <v>45721</v>
      </c>
      <c r="C3" t="s">
        <v>19</v>
      </c>
      <c r="D3" t="s">
        <v>14</v>
      </c>
      <c r="E3" t="s">
        <v>20</v>
      </c>
      <c r="F3" t="s">
        <v>21</v>
      </c>
      <c r="G3">
        <v>27</v>
      </c>
      <c r="H3">
        <v>3102</v>
      </c>
      <c r="I3">
        <v>83754</v>
      </c>
      <c r="J3">
        <v>293</v>
      </c>
      <c r="K3">
        <v>3</v>
      </c>
      <c r="L3" t="s">
        <v>22</v>
      </c>
      <c r="M3" t="str">
        <f t="shared" ref="M3:M66" si="0">IF(J3&lt;50,"Reorder","Available")</f>
        <v>Available</v>
      </c>
      <c r="N3">
        <f t="shared" ref="N3:N66" si="1">I3*20%</f>
        <v>16750.8</v>
      </c>
    </row>
    <row r="4" spans="1:14" x14ac:dyDescent="0.3">
      <c r="A4" t="s">
        <v>23</v>
      </c>
      <c r="B4" s="1">
        <v>45934</v>
      </c>
      <c r="C4" t="s">
        <v>19</v>
      </c>
      <c r="D4" t="s">
        <v>14</v>
      </c>
      <c r="E4" t="s">
        <v>20</v>
      </c>
      <c r="F4" t="s">
        <v>24</v>
      </c>
      <c r="G4">
        <v>46</v>
      </c>
      <c r="H4">
        <v>1139</v>
      </c>
      <c r="I4">
        <v>52394</v>
      </c>
      <c r="J4">
        <v>103</v>
      </c>
      <c r="K4">
        <v>5</v>
      </c>
      <c r="L4" t="s">
        <v>22</v>
      </c>
      <c r="M4" t="str">
        <f t="shared" si="0"/>
        <v>Available</v>
      </c>
      <c r="N4">
        <f t="shared" si="1"/>
        <v>10478.800000000001</v>
      </c>
    </row>
    <row r="5" spans="1:14" x14ac:dyDescent="0.3">
      <c r="A5" t="s">
        <v>25</v>
      </c>
      <c r="B5" s="1">
        <v>45664</v>
      </c>
      <c r="C5" t="s">
        <v>26</v>
      </c>
      <c r="D5" t="s">
        <v>27</v>
      </c>
      <c r="E5" t="s">
        <v>28</v>
      </c>
      <c r="F5" t="s">
        <v>29</v>
      </c>
      <c r="G5">
        <v>31</v>
      </c>
      <c r="H5">
        <v>3339</v>
      </c>
      <c r="I5">
        <v>103509</v>
      </c>
      <c r="J5">
        <v>298</v>
      </c>
      <c r="K5">
        <v>4</v>
      </c>
      <c r="L5" t="s">
        <v>22</v>
      </c>
      <c r="M5" t="str">
        <f t="shared" si="0"/>
        <v>Available</v>
      </c>
      <c r="N5">
        <f t="shared" si="1"/>
        <v>20701.800000000003</v>
      </c>
    </row>
    <row r="6" spans="1:14" x14ac:dyDescent="0.3">
      <c r="A6" t="s">
        <v>30</v>
      </c>
      <c r="B6" s="1">
        <v>45730</v>
      </c>
      <c r="C6" t="s">
        <v>13</v>
      </c>
      <c r="D6" t="s">
        <v>31</v>
      </c>
      <c r="E6" t="s">
        <v>32</v>
      </c>
      <c r="F6" t="s">
        <v>29</v>
      </c>
      <c r="G6">
        <v>40</v>
      </c>
      <c r="H6">
        <v>1291</v>
      </c>
      <c r="I6">
        <v>51640</v>
      </c>
      <c r="J6">
        <v>288</v>
      </c>
      <c r="K6">
        <v>7</v>
      </c>
      <c r="L6" t="s">
        <v>17</v>
      </c>
      <c r="M6" t="str">
        <f t="shared" si="0"/>
        <v>Available</v>
      </c>
      <c r="N6">
        <f t="shared" si="1"/>
        <v>10328</v>
      </c>
    </row>
    <row r="7" spans="1:14" x14ac:dyDescent="0.3">
      <c r="A7" t="s">
        <v>33</v>
      </c>
      <c r="B7" s="1">
        <v>45834</v>
      </c>
      <c r="C7" t="s">
        <v>13</v>
      </c>
      <c r="D7" t="s">
        <v>27</v>
      </c>
      <c r="E7" t="s">
        <v>34</v>
      </c>
      <c r="F7" t="s">
        <v>24</v>
      </c>
      <c r="G7">
        <v>27</v>
      </c>
      <c r="H7">
        <v>2371</v>
      </c>
      <c r="I7">
        <v>64017</v>
      </c>
      <c r="J7">
        <v>256</v>
      </c>
      <c r="K7">
        <v>7</v>
      </c>
      <c r="L7" t="s">
        <v>17</v>
      </c>
      <c r="M7" t="str">
        <f t="shared" si="0"/>
        <v>Available</v>
      </c>
      <c r="N7">
        <f t="shared" si="1"/>
        <v>12803.400000000001</v>
      </c>
    </row>
    <row r="8" spans="1:14" x14ac:dyDescent="0.3">
      <c r="A8" t="s">
        <v>35</v>
      </c>
      <c r="B8" s="1">
        <v>45908</v>
      </c>
      <c r="C8" t="s">
        <v>13</v>
      </c>
      <c r="D8" t="s">
        <v>14</v>
      </c>
      <c r="E8" t="s">
        <v>20</v>
      </c>
      <c r="F8" t="s">
        <v>16</v>
      </c>
      <c r="G8">
        <v>6</v>
      </c>
      <c r="H8">
        <v>3629</v>
      </c>
      <c r="I8">
        <v>21774</v>
      </c>
      <c r="J8">
        <v>102</v>
      </c>
      <c r="K8">
        <v>2</v>
      </c>
      <c r="L8" t="s">
        <v>22</v>
      </c>
      <c r="M8" t="str">
        <f t="shared" si="0"/>
        <v>Available</v>
      </c>
      <c r="N8">
        <f t="shared" si="1"/>
        <v>4354.8</v>
      </c>
    </row>
    <row r="9" spans="1:14" x14ac:dyDescent="0.3">
      <c r="A9" t="s">
        <v>36</v>
      </c>
      <c r="B9" s="1">
        <v>46015</v>
      </c>
      <c r="C9" t="s">
        <v>19</v>
      </c>
      <c r="D9" t="s">
        <v>31</v>
      </c>
      <c r="E9" t="s">
        <v>32</v>
      </c>
      <c r="F9" t="s">
        <v>24</v>
      </c>
      <c r="G9">
        <v>16</v>
      </c>
      <c r="H9">
        <v>995</v>
      </c>
      <c r="I9">
        <v>15920</v>
      </c>
      <c r="J9">
        <v>267</v>
      </c>
      <c r="K9">
        <v>9</v>
      </c>
      <c r="L9" t="s">
        <v>17</v>
      </c>
      <c r="M9" t="str">
        <f t="shared" si="0"/>
        <v>Available</v>
      </c>
      <c r="N9">
        <f t="shared" si="1"/>
        <v>3184</v>
      </c>
    </row>
    <row r="10" spans="1:14" x14ac:dyDescent="0.3">
      <c r="A10" t="s">
        <v>37</v>
      </c>
      <c r="B10" s="1">
        <v>45985</v>
      </c>
      <c r="C10" t="s">
        <v>38</v>
      </c>
      <c r="D10" t="s">
        <v>14</v>
      </c>
      <c r="E10" t="s">
        <v>20</v>
      </c>
      <c r="F10" t="s">
        <v>29</v>
      </c>
      <c r="G10">
        <v>16</v>
      </c>
      <c r="H10">
        <v>1878</v>
      </c>
      <c r="I10">
        <v>30048</v>
      </c>
      <c r="J10">
        <v>100</v>
      </c>
      <c r="K10">
        <v>3</v>
      </c>
      <c r="L10" t="s">
        <v>22</v>
      </c>
      <c r="M10" t="str">
        <f t="shared" si="0"/>
        <v>Available</v>
      </c>
      <c r="N10">
        <f t="shared" si="1"/>
        <v>6009.6</v>
      </c>
    </row>
    <row r="11" spans="1:14" x14ac:dyDescent="0.3">
      <c r="A11" t="s">
        <v>39</v>
      </c>
      <c r="B11" s="1">
        <v>45753</v>
      </c>
      <c r="C11" t="s">
        <v>26</v>
      </c>
      <c r="D11" t="s">
        <v>31</v>
      </c>
      <c r="E11" t="s">
        <v>40</v>
      </c>
      <c r="F11" t="s">
        <v>16</v>
      </c>
      <c r="G11">
        <v>44</v>
      </c>
      <c r="H11">
        <v>1121</v>
      </c>
      <c r="I11">
        <v>49324</v>
      </c>
      <c r="J11">
        <v>64</v>
      </c>
      <c r="K11">
        <v>7</v>
      </c>
      <c r="L11" t="s">
        <v>17</v>
      </c>
      <c r="M11" t="str">
        <f t="shared" si="0"/>
        <v>Available</v>
      </c>
      <c r="N11">
        <f t="shared" si="1"/>
        <v>9864.8000000000011</v>
      </c>
    </row>
    <row r="12" spans="1:14" x14ac:dyDescent="0.3">
      <c r="A12" t="s">
        <v>41</v>
      </c>
      <c r="B12" s="1">
        <v>45987</v>
      </c>
      <c r="C12" t="s">
        <v>19</v>
      </c>
      <c r="D12" t="s">
        <v>14</v>
      </c>
      <c r="E12" t="s">
        <v>42</v>
      </c>
      <c r="F12" t="s">
        <v>24</v>
      </c>
      <c r="G12">
        <v>1</v>
      </c>
      <c r="H12">
        <v>3133</v>
      </c>
      <c r="I12">
        <v>3133</v>
      </c>
      <c r="J12">
        <v>205</v>
      </c>
      <c r="K12">
        <v>6</v>
      </c>
      <c r="L12" t="s">
        <v>17</v>
      </c>
      <c r="M12" t="str">
        <f t="shared" si="0"/>
        <v>Available</v>
      </c>
      <c r="N12">
        <f t="shared" si="1"/>
        <v>626.6</v>
      </c>
    </row>
    <row r="13" spans="1:14" x14ac:dyDescent="0.3">
      <c r="A13" t="s">
        <v>43</v>
      </c>
      <c r="B13" s="1">
        <v>45975</v>
      </c>
      <c r="C13" t="s">
        <v>19</v>
      </c>
      <c r="D13" t="s">
        <v>14</v>
      </c>
      <c r="E13" t="s">
        <v>15</v>
      </c>
      <c r="F13" t="s">
        <v>16</v>
      </c>
      <c r="G13">
        <v>28</v>
      </c>
      <c r="H13">
        <v>1045</v>
      </c>
      <c r="I13">
        <v>29260</v>
      </c>
      <c r="J13">
        <v>269</v>
      </c>
      <c r="K13">
        <v>5</v>
      </c>
      <c r="L13" t="s">
        <v>22</v>
      </c>
      <c r="M13" t="str">
        <f t="shared" si="0"/>
        <v>Available</v>
      </c>
      <c r="N13">
        <f t="shared" si="1"/>
        <v>5852</v>
      </c>
    </row>
    <row r="14" spans="1:14" x14ac:dyDescent="0.3">
      <c r="A14" t="s">
        <v>44</v>
      </c>
      <c r="B14" s="1">
        <v>45724</v>
      </c>
      <c r="C14" t="s">
        <v>26</v>
      </c>
      <c r="D14" t="s">
        <v>31</v>
      </c>
      <c r="E14" t="s">
        <v>45</v>
      </c>
      <c r="F14" t="s">
        <v>29</v>
      </c>
      <c r="G14">
        <v>4</v>
      </c>
      <c r="H14">
        <v>2063</v>
      </c>
      <c r="I14">
        <v>8252</v>
      </c>
      <c r="J14">
        <v>165</v>
      </c>
      <c r="K14">
        <v>9</v>
      </c>
      <c r="L14" t="s">
        <v>17</v>
      </c>
      <c r="M14" t="str">
        <f t="shared" si="0"/>
        <v>Available</v>
      </c>
      <c r="N14">
        <f t="shared" si="1"/>
        <v>1650.4</v>
      </c>
    </row>
    <row r="15" spans="1:14" x14ac:dyDescent="0.3">
      <c r="A15" t="s">
        <v>46</v>
      </c>
      <c r="B15" s="1">
        <v>45825</v>
      </c>
      <c r="C15" t="s">
        <v>38</v>
      </c>
      <c r="D15" t="s">
        <v>31</v>
      </c>
      <c r="E15" t="s">
        <v>32</v>
      </c>
      <c r="F15" t="s">
        <v>21</v>
      </c>
      <c r="G15">
        <v>29</v>
      </c>
      <c r="H15">
        <v>2113</v>
      </c>
      <c r="I15">
        <v>61277</v>
      </c>
      <c r="J15">
        <v>171</v>
      </c>
      <c r="K15">
        <v>3</v>
      </c>
      <c r="L15" t="s">
        <v>22</v>
      </c>
      <c r="M15" t="str">
        <f t="shared" si="0"/>
        <v>Available</v>
      </c>
      <c r="N15">
        <f t="shared" si="1"/>
        <v>12255.400000000001</v>
      </c>
    </row>
    <row r="16" spans="1:14" x14ac:dyDescent="0.3">
      <c r="A16" t="s">
        <v>47</v>
      </c>
      <c r="B16" s="1">
        <v>45722</v>
      </c>
      <c r="C16" t="s">
        <v>19</v>
      </c>
      <c r="D16" t="s">
        <v>14</v>
      </c>
      <c r="E16" t="s">
        <v>20</v>
      </c>
      <c r="F16" t="s">
        <v>24</v>
      </c>
      <c r="G16">
        <v>12</v>
      </c>
      <c r="H16">
        <v>3900</v>
      </c>
      <c r="I16">
        <v>46800</v>
      </c>
      <c r="J16">
        <v>236</v>
      </c>
      <c r="K16">
        <v>7</v>
      </c>
      <c r="L16" t="s">
        <v>17</v>
      </c>
      <c r="M16" t="str">
        <f t="shared" si="0"/>
        <v>Available</v>
      </c>
      <c r="N16">
        <f t="shared" si="1"/>
        <v>9360</v>
      </c>
    </row>
    <row r="17" spans="1:14" x14ac:dyDescent="0.3">
      <c r="A17" t="s">
        <v>48</v>
      </c>
      <c r="B17" s="1">
        <v>45816</v>
      </c>
      <c r="C17" t="s">
        <v>13</v>
      </c>
      <c r="D17" t="s">
        <v>14</v>
      </c>
      <c r="E17" t="s">
        <v>15</v>
      </c>
      <c r="F17" t="s">
        <v>21</v>
      </c>
      <c r="G17">
        <v>34</v>
      </c>
      <c r="H17">
        <v>3811</v>
      </c>
      <c r="I17">
        <v>129574</v>
      </c>
      <c r="J17">
        <v>276</v>
      </c>
      <c r="K17">
        <v>3</v>
      </c>
      <c r="L17" t="s">
        <v>22</v>
      </c>
      <c r="M17" t="str">
        <f t="shared" si="0"/>
        <v>Available</v>
      </c>
      <c r="N17">
        <f t="shared" si="1"/>
        <v>25914.800000000003</v>
      </c>
    </row>
    <row r="18" spans="1:14" x14ac:dyDescent="0.3">
      <c r="A18" t="s">
        <v>49</v>
      </c>
      <c r="B18" s="1">
        <v>45782</v>
      </c>
      <c r="C18" t="s">
        <v>38</v>
      </c>
      <c r="D18" t="s">
        <v>27</v>
      </c>
      <c r="E18" t="s">
        <v>28</v>
      </c>
      <c r="F18" t="s">
        <v>16</v>
      </c>
      <c r="G18">
        <v>40</v>
      </c>
      <c r="H18">
        <v>3501</v>
      </c>
      <c r="I18">
        <v>140040</v>
      </c>
      <c r="J18">
        <v>180</v>
      </c>
      <c r="K18">
        <v>9</v>
      </c>
      <c r="L18" t="s">
        <v>17</v>
      </c>
      <c r="M18" t="str">
        <f t="shared" si="0"/>
        <v>Available</v>
      </c>
      <c r="N18">
        <f t="shared" si="1"/>
        <v>28008</v>
      </c>
    </row>
    <row r="19" spans="1:14" x14ac:dyDescent="0.3">
      <c r="A19" t="s">
        <v>50</v>
      </c>
      <c r="B19" s="1">
        <v>45850</v>
      </c>
      <c r="C19" t="s">
        <v>13</v>
      </c>
      <c r="D19" t="s">
        <v>51</v>
      </c>
      <c r="E19" t="s">
        <v>52</v>
      </c>
      <c r="F19" t="s">
        <v>29</v>
      </c>
      <c r="G19">
        <v>7</v>
      </c>
      <c r="H19">
        <v>1468</v>
      </c>
      <c r="I19">
        <v>10276</v>
      </c>
      <c r="J19">
        <v>134</v>
      </c>
      <c r="K19">
        <v>5</v>
      </c>
      <c r="L19" t="s">
        <v>22</v>
      </c>
      <c r="M19" t="str">
        <f t="shared" si="0"/>
        <v>Available</v>
      </c>
      <c r="N19">
        <f t="shared" si="1"/>
        <v>2055.2000000000003</v>
      </c>
    </row>
    <row r="20" spans="1:14" x14ac:dyDescent="0.3">
      <c r="A20" t="s">
        <v>53</v>
      </c>
      <c r="B20" s="1">
        <v>45831</v>
      </c>
      <c r="C20" t="s">
        <v>13</v>
      </c>
      <c r="D20" t="s">
        <v>14</v>
      </c>
      <c r="E20" t="s">
        <v>15</v>
      </c>
      <c r="F20" t="s">
        <v>21</v>
      </c>
      <c r="G20">
        <v>25</v>
      </c>
      <c r="H20">
        <v>902</v>
      </c>
      <c r="I20">
        <v>22550</v>
      </c>
      <c r="J20">
        <v>48</v>
      </c>
      <c r="K20">
        <v>9</v>
      </c>
      <c r="L20" t="s">
        <v>17</v>
      </c>
      <c r="M20" t="str">
        <f t="shared" si="0"/>
        <v>Reorder</v>
      </c>
      <c r="N20">
        <f t="shared" si="1"/>
        <v>4510</v>
      </c>
    </row>
    <row r="21" spans="1:14" x14ac:dyDescent="0.3">
      <c r="A21" t="s">
        <v>54</v>
      </c>
      <c r="B21" s="1">
        <v>45925</v>
      </c>
      <c r="C21" t="s">
        <v>19</v>
      </c>
      <c r="D21" t="s">
        <v>27</v>
      </c>
      <c r="E21" t="s">
        <v>28</v>
      </c>
      <c r="F21" t="s">
        <v>21</v>
      </c>
      <c r="G21">
        <v>4</v>
      </c>
      <c r="H21">
        <v>3628</v>
      </c>
      <c r="I21">
        <v>14512</v>
      </c>
      <c r="J21">
        <v>179</v>
      </c>
      <c r="K21">
        <v>9</v>
      </c>
      <c r="L21" t="s">
        <v>17</v>
      </c>
      <c r="M21" t="str">
        <f t="shared" si="0"/>
        <v>Available</v>
      </c>
      <c r="N21">
        <f t="shared" si="1"/>
        <v>2902.4</v>
      </c>
    </row>
    <row r="22" spans="1:14" x14ac:dyDescent="0.3">
      <c r="A22" t="s">
        <v>55</v>
      </c>
      <c r="B22" s="1">
        <v>45795</v>
      </c>
      <c r="C22" t="s">
        <v>19</v>
      </c>
      <c r="D22" t="s">
        <v>51</v>
      </c>
      <c r="E22" t="s">
        <v>56</v>
      </c>
      <c r="F22" t="s">
        <v>16</v>
      </c>
      <c r="G22">
        <v>20</v>
      </c>
      <c r="H22">
        <v>3625</v>
      </c>
      <c r="I22">
        <v>72500</v>
      </c>
      <c r="J22">
        <v>288</v>
      </c>
      <c r="K22">
        <v>3</v>
      </c>
      <c r="L22" t="s">
        <v>22</v>
      </c>
      <c r="M22" t="str">
        <f t="shared" si="0"/>
        <v>Available</v>
      </c>
      <c r="N22">
        <f t="shared" si="1"/>
        <v>14500</v>
      </c>
    </row>
    <row r="23" spans="1:14" x14ac:dyDescent="0.3">
      <c r="A23" t="s">
        <v>57</v>
      </c>
      <c r="B23" s="1">
        <v>45916</v>
      </c>
      <c r="C23" t="s">
        <v>13</v>
      </c>
      <c r="D23" t="s">
        <v>14</v>
      </c>
      <c r="E23" t="s">
        <v>58</v>
      </c>
      <c r="F23" t="s">
        <v>29</v>
      </c>
      <c r="G23">
        <v>5</v>
      </c>
      <c r="H23">
        <v>1789</v>
      </c>
      <c r="I23">
        <v>8945</v>
      </c>
      <c r="J23">
        <v>256</v>
      </c>
      <c r="K23">
        <v>6</v>
      </c>
      <c r="L23" t="s">
        <v>17</v>
      </c>
      <c r="M23" t="str">
        <f t="shared" si="0"/>
        <v>Available</v>
      </c>
      <c r="N23">
        <f t="shared" si="1"/>
        <v>1789</v>
      </c>
    </row>
    <row r="24" spans="1:14" x14ac:dyDescent="0.3">
      <c r="A24" t="s">
        <v>59</v>
      </c>
      <c r="B24" s="1">
        <v>45877</v>
      </c>
      <c r="C24" t="s">
        <v>19</v>
      </c>
      <c r="D24" t="s">
        <v>51</v>
      </c>
      <c r="E24" t="s">
        <v>56</v>
      </c>
      <c r="F24" t="s">
        <v>16</v>
      </c>
      <c r="G24">
        <v>6</v>
      </c>
      <c r="H24">
        <v>3596</v>
      </c>
      <c r="I24">
        <v>21576</v>
      </c>
      <c r="J24">
        <v>209</v>
      </c>
      <c r="K24">
        <v>4</v>
      </c>
      <c r="L24" t="s">
        <v>22</v>
      </c>
      <c r="M24" t="str">
        <f t="shared" si="0"/>
        <v>Available</v>
      </c>
      <c r="N24">
        <f t="shared" si="1"/>
        <v>4315.2</v>
      </c>
    </row>
    <row r="25" spans="1:14" x14ac:dyDescent="0.3">
      <c r="A25" t="s">
        <v>60</v>
      </c>
      <c r="B25" s="1">
        <v>45691</v>
      </c>
      <c r="C25" t="s">
        <v>13</v>
      </c>
      <c r="D25" t="s">
        <v>51</v>
      </c>
      <c r="E25" t="s">
        <v>56</v>
      </c>
      <c r="F25" t="s">
        <v>29</v>
      </c>
      <c r="G25">
        <v>8</v>
      </c>
      <c r="H25">
        <v>4571</v>
      </c>
      <c r="I25">
        <v>36568</v>
      </c>
      <c r="J25">
        <v>15</v>
      </c>
      <c r="K25">
        <v>7</v>
      </c>
      <c r="L25" t="s">
        <v>17</v>
      </c>
      <c r="M25" t="str">
        <f t="shared" si="0"/>
        <v>Reorder</v>
      </c>
      <c r="N25">
        <f t="shared" si="1"/>
        <v>7313.6</v>
      </c>
    </row>
    <row r="26" spans="1:14" x14ac:dyDescent="0.3">
      <c r="A26" t="s">
        <v>61</v>
      </c>
      <c r="B26" s="1">
        <v>45713</v>
      </c>
      <c r="C26" t="s">
        <v>38</v>
      </c>
      <c r="D26" t="s">
        <v>27</v>
      </c>
      <c r="E26" t="s">
        <v>34</v>
      </c>
      <c r="F26" t="s">
        <v>29</v>
      </c>
      <c r="G26">
        <v>28</v>
      </c>
      <c r="H26">
        <v>4409</v>
      </c>
      <c r="I26">
        <v>123452</v>
      </c>
      <c r="J26">
        <v>63</v>
      </c>
      <c r="K26">
        <v>8</v>
      </c>
      <c r="L26" t="s">
        <v>17</v>
      </c>
      <c r="M26" t="str">
        <f t="shared" si="0"/>
        <v>Available</v>
      </c>
      <c r="N26">
        <f t="shared" si="1"/>
        <v>24690.400000000001</v>
      </c>
    </row>
    <row r="27" spans="1:14" x14ac:dyDescent="0.3">
      <c r="A27" t="s">
        <v>62</v>
      </c>
      <c r="B27" s="1">
        <v>45727</v>
      </c>
      <c r="C27" t="s">
        <v>38</v>
      </c>
      <c r="D27" t="s">
        <v>14</v>
      </c>
      <c r="E27" t="s">
        <v>15</v>
      </c>
      <c r="F27" t="s">
        <v>21</v>
      </c>
      <c r="G27">
        <v>6</v>
      </c>
      <c r="H27">
        <v>4149</v>
      </c>
      <c r="I27">
        <v>24894</v>
      </c>
      <c r="J27">
        <v>262</v>
      </c>
      <c r="K27">
        <v>5</v>
      </c>
      <c r="L27" t="s">
        <v>22</v>
      </c>
      <c r="M27" t="str">
        <f t="shared" si="0"/>
        <v>Available</v>
      </c>
      <c r="N27">
        <f t="shared" si="1"/>
        <v>4978.8</v>
      </c>
    </row>
    <row r="28" spans="1:14" x14ac:dyDescent="0.3">
      <c r="A28" t="s">
        <v>63</v>
      </c>
      <c r="B28" s="1">
        <v>45885</v>
      </c>
      <c r="C28" t="s">
        <v>19</v>
      </c>
      <c r="D28" t="s">
        <v>27</v>
      </c>
      <c r="E28" t="s">
        <v>64</v>
      </c>
      <c r="F28" t="s">
        <v>21</v>
      </c>
      <c r="G28">
        <v>7</v>
      </c>
      <c r="H28">
        <v>4072</v>
      </c>
      <c r="I28">
        <v>28504</v>
      </c>
      <c r="J28">
        <v>138</v>
      </c>
      <c r="K28">
        <v>10</v>
      </c>
      <c r="L28" t="s">
        <v>17</v>
      </c>
      <c r="M28" t="str">
        <f t="shared" si="0"/>
        <v>Available</v>
      </c>
      <c r="N28">
        <f t="shared" si="1"/>
        <v>5700.8</v>
      </c>
    </row>
    <row r="29" spans="1:14" x14ac:dyDescent="0.3">
      <c r="A29" t="s">
        <v>65</v>
      </c>
      <c r="B29" s="1">
        <v>45785</v>
      </c>
      <c r="C29" t="s">
        <v>13</v>
      </c>
      <c r="D29" t="s">
        <v>51</v>
      </c>
      <c r="E29" t="s">
        <v>66</v>
      </c>
      <c r="F29" t="s">
        <v>16</v>
      </c>
      <c r="G29">
        <v>23</v>
      </c>
      <c r="H29">
        <v>3097</v>
      </c>
      <c r="I29">
        <v>71231</v>
      </c>
      <c r="J29">
        <v>28</v>
      </c>
      <c r="K29">
        <v>4</v>
      </c>
      <c r="L29" t="s">
        <v>22</v>
      </c>
      <c r="M29" t="str">
        <f t="shared" si="0"/>
        <v>Reorder</v>
      </c>
      <c r="N29">
        <f t="shared" si="1"/>
        <v>14246.2</v>
      </c>
    </row>
    <row r="30" spans="1:14" x14ac:dyDescent="0.3">
      <c r="A30" t="s">
        <v>67</v>
      </c>
      <c r="B30" s="1">
        <v>45815</v>
      </c>
      <c r="C30" t="s">
        <v>19</v>
      </c>
      <c r="D30" t="s">
        <v>31</v>
      </c>
      <c r="E30" t="s">
        <v>40</v>
      </c>
      <c r="F30" t="s">
        <v>16</v>
      </c>
      <c r="G30">
        <v>18</v>
      </c>
      <c r="H30">
        <v>4515</v>
      </c>
      <c r="I30">
        <v>81270</v>
      </c>
      <c r="J30">
        <v>245</v>
      </c>
      <c r="K30">
        <v>5</v>
      </c>
      <c r="L30" t="s">
        <v>22</v>
      </c>
      <c r="M30" t="str">
        <f t="shared" si="0"/>
        <v>Available</v>
      </c>
      <c r="N30">
        <f t="shared" si="1"/>
        <v>16254</v>
      </c>
    </row>
    <row r="31" spans="1:14" x14ac:dyDescent="0.3">
      <c r="A31" t="s">
        <v>68</v>
      </c>
      <c r="B31" s="1">
        <v>45936</v>
      </c>
      <c r="C31" t="s">
        <v>13</v>
      </c>
      <c r="D31" t="s">
        <v>51</v>
      </c>
      <c r="E31" t="s">
        <v>52</v>
      </c>
      <c r="F31" t="s">
        <v>24</v>
      </c>
      <c r="G31">
        <v>5</v>
      </c>
      <c r="H31">
        <v>2067</v>
      </c>
      <c r="I31">
        <v>10335</v>
      </c>
      <c r="J31">
        <v>136</v>
      </c>
      <c r="K31">
        <v>2</v>
      </c>
      <c r="L31" t="s">
        <v>22</v>
      </c>
      <c r="M31" t="str">
        <f t="shared" si="0"/>
        <v>Available</v>
      </c>
      <c r="N31">
        <f t="shared" si="1"/>
        <v>2067</v>
      </c>
    </row>
    <row r="32" spans="1:14" x14ac:dyDescent="0.3">
      <c r="A32" t="s">
        <v>69</v>
      </c>
      <c r="B32" s="1">
        <v>45849</v>
      </c>
      <c r="C32" t="s">
        <v>19</v>
      </c>
      <c r="D32" t="s">
        <v>51</v>
      </c>
      <c r="E32" t="s">
        <v>56</v>
      </c>
      <c r="F32" t="s">
        <v>21</v>
      </c>
      <c r="G32">
        <v>7</v>
      </c>
      <c r="H32">
        <v>4280</v>
      </c>
      <c r="I32">
        <v>29960</v>
      </c>
      <c r="J32">
        <v>79</v>
      </c>
      <c r="K32">
        <v>6</v>
      </c>
      <c r="L32" t="s">
        <v>17</v>
      </c>
      <c r="M32" t="str">
        <f t="shared" si="0"/>
        <v>Available</v>
      </c>
      <c r="N32">
        <f t="shared" si="1"/>
        <v>5992</v>
      </c>
    </row>
    <row r="33" spans="1:14" x14ac:dyDescent="0.3">
      <c r="A33" t="s">
        <v>70</v>
      </c>
      <c r="B33" s="1">
        <v>45841</v>
      </c>
      <c r="C33" t="s">
        <v>19</v>
      </c>
      <c r="D33" t="s">
        <v>27</v>
      </c>
      <c r="E33" t="s">
        <v>34</v>
      </c>
      <c r="F33" t="s">
        <v>24</v>
      </c>
      <c r="G33">
        <v>8</v>
      </c>
      <c r="H33">
        <v>2564</v>
      </c>
      <c r="I33">
        <v>20512</v>
      </c>
      <c r="J33">
        <v>29</v>
      </c>
      <c r="K33">
        <v>4</v>
      </c>
      <c r="L33" t="s">
        <v>22</v>
      </c>
      <c r="M33" t="str">
        <f t="shared" si="0"/>
        <v>Reorder</v>
      </c>
      <c r="N33">
        <f t="shared" si="1"/>
        <v>4102.4000000000005</v>
      </c>
    </row>
    <row r="34" spans="1:14" x14ac:dyDescent="0.3">
      <c r="A34" t="s">
        <v>71</v>
      </c>
      <c r="B34" s="1">
        <v>45794</v>
      </c>
      <c r="C34" t="s">
        <v>38</v>
      </c>
      <c r="D34" t="s">
        <v>14</v>
      </c>
      <c r="E34" t="s">
        <v>20</v>
      </c>
      <c r="F34" t="s">
        <v>24</v>
      </c>
      <c r="G34">
        <v>22</v>
      </c>
      <c r="H34">
        <v>3716</v>
      </c>
      <c r="I34">
        <v>81752</v>
      </c>
      <c r="J34">
        <v>220</v>
      </c>
      <c r="K34">
        <v>9</v>
      </c>
      <c r="L34" t="s">
        <v>17</v>
      </c>
      <c r="M34" t="str">
        <f t="shared" si="0"/>
        <v>Available</v>
      </c>
      <c r="N34">
        <f t="shared" si="1"/>
        <v>16350.400000000001</v>
      </c>
    </row>
    <row r="35" spans="1:14" x14ac:dyDescent="0.3">
      <c r="A35" t="s">
        <v>72</v>
      </c>
      <c r="B35" s="1">
        <v>45786</v>
      </c>
      <c r="C35" t="s">
        <v>38</v>
      </c>
      <c r="D35" t="s">
        <v>31</v>
      </c>
      <c r="E35" t="s">
        <v>45</v>
      </c>
      <c r="F35" t="s">
        <v>24</v>
      </c>
      <c r="G35">
        <v>38</v>
      </c>
      <c r="H35">
        <v>2095</v>
      </c>
      <c r="I35">
        <v>79610</v>
      </c>
      <c r="J35">
        <v>112</v>
      </c>
      <c r="K35">
        <v>4</v>
      </c>
      <c r="L35" t="s">
        <v>22</v>
      </c>
      <c r="M35" t="str">
        <f t="shared" si="0"/>
        <v>Available</v>
      </c>
      <c r="N35">
        <f t="shared" si="1"/>
        <v>15922</v>
      </c>
    </row>
    <row r="36" spans="1:14" x14ac:dyDescent="0.3">
      <c r="A36" t="s">
        <v>73</v>
      </c>
      <c r="B36" s="1">
        <v>45697</v>
      </c>
      <c r="C36" t="s">
        <v>19</v>
      </c>
      <c r="D36" t="s">
        <v>14</v>
      </c>
      <c r="E36" t="s">
        <v>15</v>
      </c>
      <c r="F36" t="s">
        <v>21</v>
      </c>
      <c r="G36">
        <v>11</v>
      </c>
      <c r="H36">
        <v>934</v>
      </c>
      <c r="I36">
        <v>10274</v>
      </c>
      <c r="J36">
        <v>102</v>
      </c>
      <c r="K36">
        <v>3</v>
      </c>
      <c r="L36" t="s">
        <v>22</v>
      </c>
      <c r="M36" t="str">
        <f t="shared" si="0"/>
        <v>Available</v>
      </c>
      <c r="N36">
        <f t="shared" si="1"/>
        <v>2054.8000000000002</v>
      </c>
    </row>
    <row r="37" spans="1:14" x14ac:dyDescent="0.3">
      <c r="A37" t="s">
        <v>74</v>
      </c>
      <c r="B37" s="1">
        <v>45691</v>
      </c>
      <c r="C37" t="s">
        <v>26</v>
      </c>
      <c r="D37" t="s">
        <v>14</v>
      </c>
      <c r="E37" t="s">
        <v>42</v>
      </c>
      <c r="F37" t="s">
        <v>29</v>
      </c>
      <c r="G37">
        <v>19</v>
      </c>
      <c r="H37">
        <v>4100</v>
      </c>
      <c r="I37">
        <v>77900</v>
      </c>
      <c r="J37">
        <v>296</v>
      </c>
      <c r="K37">
        <v>9</v>
      </c>
      <c r="L37" t="s">
        <v>17</v>
      </c>
      <c r="M37" t="str">
        <f t="shared" si="0"/>
        <v>Available</v>
      </c>
      <c r="N37">
        <f t="shared" si="1"/>
        <v>15580</v>
      </c>
    </row>
    <row r="38" spans="1:14" x14ac:dyDescent="0.3">
      <c r="A38" t="s">
        <v>75</v>
      </c>
      <c r="B38" s="1">
        <v>45696</v>
      </c>
      <c r="C38" t="s">
        <v>13</v>
      </c>
      <c r="D38" t="s">
        <v>31</v>
      </c>
      <c r="E38" t="s">
        <v>76</v>
      </c>
      <c r="F38" t="s">
        <v>16</v>
      </c>
      <c r="G38">
        <v>11</v>
      </c>
      <c r="H38">
        <v>3730</v>
      </c>
      <c r="I38">
        <v>41030</v>
      </c>
      <c r="J38">
        <v>191</v>
      </c>
      <c r="K38">
        <v>7</v>
      </c>
      <c r="L38" t="s">
        <v>17</v>
      </c>
      <c r="M38" t="str">
        <f t="shared" si="0"/>
        <v>Available</v>
      </c>
      <c r="N38">
        <f t="shared" si="1"/>
        <v>8206</v>
      </c>
    </row>
    <row r="39" spans="1:14" x14ac:dyDescent="0.3">
      <c r="A39" t="s">
        <v>77</v>
      </c>
      <c r="B39" s="1">
        <v>45767</v>
      </c>
      <c r="C39" t="s">
        <v>13</v>
      </c>
      <c r="D39" t="s">
        <v>31</v>
      </c>
      <c r="E39" t="s">
        <v>40</v>
      </c>
      <c r="F39" t="s">
        <v>21</v>
      </c>
      <c r="G39">
        <v>25</v>
      </c>
      <c r="H39">
        <v>3191</v>
      </c>
      <c r="I39">
        <v>79775</v>
      </c>
      <c r="J39">
        <v>287</v>
      </c>
      <c r="K39">
        <v>5</v>
      </c>
      <c r="L39" t="s">
        <v>22</v>
      </c>
      <c r="M39" t="str">
        <f t="shared" si="0"/>
        <v>Available</v>
      </c>
      <c r="N39">
        <f t="shared" si="1"/>
        <v>15955</v>
      </c>
    </row>
    <row r="40" spans="1:14" x14ac:dyDescent="0.3">
      <c r="A40" t="s">
        <v>78</v>
      </c>
      <c r="B40" s="1">
        <v>45970</v>
      </c>
      <c r="C40" t="s">
        <v>13</v>
      </c>
      <c r="D40" t="s">
        <v>31</v>
      </c>
      <c r="E40" t="s">
        <v>76</v>
      </c>
      <c r="F40" t="s">
        <v>16</v>
      </c>
      <c r="G40">
        <v>35</v>
      </c>
      <c r="H40">
        <v>2565</v>
      </c>
      <c r="I40">
        <v>89775</v>
      </c>
      <c r="J40">
        <v>205</v>
      </c>
      <c r="K40">
        <v>4</v>
      </c>
      <c r="L40" t="s">
        <v>22</v>
      </c>
      <c r="M40" t="str">
        <f t="shared" si="0"/>
        <v>Available</v>
      </c>
      <c r="N40">
        <f t="shared" si="1"/>
        <v>17955</v>
      </c>
    </row>
    <row r="41" spans="1:14" x14ac:dyDescent="0.3">
      <c r="A41" t="s">
        <v>79</v>
      </c>
      <c r="B41" s="1">
        <v>45800</v>
      </c>
      <c r="C41" t="s">
        <v>19</v>
      </c>
      <c r="D41" t="s">
        <v>14</v>
      </c>
      <c r="E41" t="s">
        <v>42</v>
      </c>
      <c r="F41" t="s">
        <v>29</v>
      </c>
      <c r="G41">
        <v>28</v>
      </c>
      <c r="H41">
        <v>1547</v>
      </c>
      <c r="I41">
        <v>43316</v>
      </c>
      <c r="J41">
        <v>273</v>
      </c>
      <c r="K41">
        <v>9</v>
      </c>
      <c r="L41" t="s">
        <v>17</v>
      </c>
      <c r="M41" t="str">
        <f t="shared" si="0"/>
        <v>Available</v>
      </c>
      <c r="N41">
        <f t="shared" si="1"/>
        <v>8663.2000000000007</v>
      </c>
    </row>
    <row r="42" spans="1:14" x14ac:dyDescent="0.3">
      <c r="A42" t="s">
        <v>80</v>
      </c>
      <c r="B42" s="1">
        <v>45986</v>
      </c>
      <c r="C42" t="s">
        <v>13</v>
      </c>
      <c r="D42" t="s">
        <v>14</v>
      </c>
      <c r="E42" t="s">
        <v>42</v>
      </c>
      <c r="F42" t="s">
        <v>16</v>
      </c>
      <c r="G42">
        <v>31</v>
      </c>
      <c r="H42">
        <v>1757</v>
      </c>
      <c r="I42">
        <v>54467</v>
      </c>
      <c r="J42">
        <v>119</v>
      </c>
      <c r="K42">
        <v>7</v>
      </c>
      <c r="L42" t="s">
        <v>17</v>
      </c>
      <c r="M42" t="str">
        <f t="shared" si="0"/>
        <v>Available</v>
      </c>
      <c r="N42">
        <f t="shared" si="1"/>
        <v>10893.400000000001</v>
      </c>
    </row>
    <row r="43" spans="1:14" x14ac:dyDescent="0.3">
      <c r="A43" t="s">
        <v>81</v>
      </c>
      <c r="B43" s="1">
        <v>45668</v>
      </c>
      <c r="C43" t="s">
        <v>19</v>
      </c>
      <c r="D43" t="s">
        <v>14</v>
      </c>
      <c r="E43" t="s">
        <v>42</v>
      </c>
      <c r="F43" t="s">
        <v>21</v>
      </c>
      <c r="G43">
        <v>16</v>
      </c>
      <c r="H43">
        <v>3698</v>
      </c>
      <c r="I43">
        <v>59168</v>
      </c>
      <c r="J43">
        <v>269</v>
      </c>
      <c r="K43">
        <v>4</v>
      </c>
      <c r="L43" t="s">
        <v>22</v>
      </c>
      <c r="M43" t="str">
        <f t="shared" si="0"/>
        <v>Available</v>
      </c>
      <c r="N43">
        <f t="shared" si="1"/>
        <v>11833.6</v>
      </c>
    </row>
    <row r="44" spans="1:14" x14ac:dyDescent="0.3">
      <c r="A44" t="s">
        <v>82</v>
      </c>
      <c r="B44" s="1">
        <v>45994</v>
      </c>
      <c r="C44" t="s">
        <v>26</v>
      </c>
      <c r="D44" t="s">
        <v>27</v>
      </c>
      <c r="E44" t="s">
        <v>83</v>
      </c>
      <c r="F44" t="s">
        <v>24</v>
      </c>
      <c r="G44">
        <v>41</v>
      </c>
      <c r="H44">
        <v>3003</v>
      </c>
      <c r="I44">
        <v>123123</v>
      </c>
      <c r="J44">
        <v>170</v>
      </c>
      <c r="K44">
        <v>10</v>
      </c>
      <c r="L44" t="s">
        <v>17</v>
      </c>
      <c r="M44" t="str">
        <f t="shared" si="0"/>
        <v>Available</v>
      </c>
      <c r="N44">
        <f t="shared" si="1"/>
        <v>24624.600000000002</v>
      </c>
    </row>
    <row r="45" spans="1:14" x14ac:dyDescent="0.3">
      <c r="A45" t="s">
        <v>84</v>
      </c>
      <c r="B45" s="1">
        <v>45848</v>
      </c>
      <c r="C45" t="s">
        <v>26</v>
      </c>
      <c r="D45" t="s">
        <v>14</v>
      </c>
      <c r="E45" t="s">
        <v>20</v>
      </c>
      <c r="F45" t="s">
        <v>29</v>
      </c>
      <c r="G45">
        <v>14</v>
      </c>
      <c r="H45">
        <v>1377</v>
      </c>
      <c r="I45">
        <v>19278</v>
      </c>
      <c r="J45">
        <v>234</v>
      </c>
      <c r="K45">
        <v>5</v>
      </c>
      <c r="L45" t="s">
        <v>22</v>
      </c>
      <c r="M45" t="str">
        <f t="shared" si="0"/>
        <v>Available</v>
      </c>
      <c r="N45">
        <f t="shared" si="1"/>
        <v>3855.6000000000004</v>
      </c>
    </row>
    <row r="46" spans="1:14" x14ac:dyDescent="0.3">
      <c r="A46" t="s">
        <v>85</v>
      </c>
      <c r="B46" s="1">
        <v>45944</v>
      </c>
      <c r="C46" t="s">
        <v>38</v>
      </c>
      <c r="D46" t="s">
        <v>31</v>
      </c>
      <c r="E46" t="s">
        <v>32</v>
      </c>
      <c r="F46" t="s">
        <v>21</v>
      </c>
      <c r="G46">
        <v>34</v>
      </c>
      <c r="H46">
        <v>1994</v>
      </c>
      <c r="I46">
        <v>67796</v>
      </c>
      <c r="J46">
        <v>266</v>
      </c>
      <c r="K46">
        <v>10</v>
      </c>
      <c r="L46" t="s">
        <v>17</v>
      </c>
      <c r="M46" t="str">
        <f t="shared" si="0"/>
        <v>Available</v>
      </c>
      <c r="N46">
        <f t="shared" si="1"/>
        <v>13559.2</v>
      </c>
    </row>
    <row r="47" spans="1:14" x14ac:dyDescent="0.3">
      <c r="A47" t="s">
        <v>86</v>
      </c>
      <c r="B47" s="1">
        <v>45664</v>
      </c>
      <c r="C47" t="s">
        <v>38</v>
      </c>
      <c r="D47" t="s">
        <v>51</v>
      </c>
      <c r="E47" t="s">
        <v>56</v>
      </c>
      <c r="F47" t="s">
        <v>24</v>
      </c>
      <c r="G47">
        <v>20</v>
      </c>
      <c r="H47">
        <v>1833</v>
      </c>
      <c r="I47">
        <v>36660</v>
      </c>
      <c r="J47">
        <v>97</v>
      </c>
      <c r="K47">
        <v>5</v>
      </c>
      <c r="L47" t="s">
        <v>22</v>
      </c>
      <c r="M47" t="str">
        <f t="shared" si="0"/>
        <v>Available</v>
      </c>
      <c r="N47">
        <f t="shared" si="1"/>
        <v>7332</v>
      </c>
    </row>
    <row r="48" spans="1:14" x14ac:dyDescent="0.3">
      <c r="A48" t="s">
        <v>87</v>
      </c>
      <c r="B48" s="1">
        <v>45941</v>
      </c>
      <c r="C48" t="s">
        <v>38</v>
      </c>
      <c r="D48" t="s">
        <v>14</v>
      </c>
      <c r="E48" t="s">
        <v>58</v>
      </c>
      <c r="F48" t="s">
        <v>29</v>
      </c>
      <c r="G48">
        <v>25</v>
      </c>
      <c r="H48">
        <v>4284</v>
      </c>
      <c r="I48">
        <v>107100</v>
      </c>
      <c r="J48">
        <v>254</v>
      </c>
      <c r="K48">
        <v>5</v>
      </c>
      <c r="L48" t="s">
        <v>22</v>
      </c>
      <c r="M48" t="str">
        <f t="shared" si="0"/>
        <v>Available</v>
      </c>
      <c r="N48">
        <f t="shared" si="1"/>
        <v>21420</v>
      </c>
    </row>
    <row r="49" spans="1:14" x14ac:dyDescent="0.3">
      <c r="A49" t="s">
        <v>88</v>
      </c>
      <c r="B49" s="1">
        <v>46022</v>
      </c>
      <c r="C49" t="s">
        <v>13</v>
      </c>
      <c r="D49" t="s">
        <v>51</v>
      </c>
      <c r="E49" t="s">
        <v>66</v>
      </c>
      <c r="F49" t="s">
        <v>29</v>
      </c>
      <c r="G49">
        <v>45</v>
      </c>
      <c r="H49">
        <v>2664</v>
      </c>
      <c r="I49">
        <v>119880</v>
      </c>
      <c r="J49">
        <v>253</v>
      </c>
      <c r="K49">
        <v>7</v>
      </c>
      <c r="L49" t="s">
        <v>17</v>
      </c>
      <c r="M49" t="str">
        <f t="shared" si="0"/>
        <v>Available</v>
      </c>
      <c r="N49">
        <f t="shared" si="1"/>
        <v>23976</v>
      </c>
    </row>
    <row r="50" spans="1:14" x14ac:dyDescent="0.3">
      <c r="A50" t="s">
        <v>89</v>
      </c>
      <c r="B50" s="1">
        <v>45811</v>
      </c>
      <c r="C50" t="s">
        <v>26</v>
      </c>
      <c r="D50" t="s">
        <v>51</v>
      </c>
      <c r="E50" t="s">
        <v>90</v>
      </c>
      <c r="F50" t="s">
        <v>21</v>
      </c>
      <c r="G50">
        <v>3</v>
      </c>
      <c r="H50">
        <v>3590</v>
      </c>
      <c r="I50">
        <v>10770</v>
      </c>
      <c r="J50">
        <v>209</v>
      </c>
      <c r="K50">
        <v>5</v>
      </c>
      <c r="L50" t="s">
        <v>22</v>
      </c>
      <c r="M50" t="str">
        <f t="shared" si="0"/>
        <v>Available</v>
      </c>
      <c r="N50">
        <f t="shared" si="1"/>
        <v>2154</v>
      </c>
    </row>
    <row r="51" spans="1:14" x14ac:dyDescent="0.3">
      <c r="A51" t="s">
        <v>91</v>
      </c>
      <c r="B51" s="1">
        <v>45680</v>
      </c>
      <c r="C51" t="s">
        <v>13</v>
      </c>
      <c r="D51" t="s">
        <v>31</v>
      </c>
      <c r="E51" t="s">
        <v>76</v>
      </c>
      <c r="F51" t="s">
        <v>16</v>
      </c>
      <c r="G51">
        <v>50</v>
      </c>
      <c r="H51">
        <v>2875</v>
      </c>
      <c r="I51">
        <v>143750</v>
      </c>
      <c r="J51">
        <v>212</v>
      </c>
      <c r="K51">
        <v>3</v>
      </c>
      <c r="L51" t="s">
        <v>22</v>
      </c>
      <c r="M51" t="str">
        <f t="shared" si="0"/>
        <v>Available</v>
      </c>
      <c r="N51">
        <f t="shared" si="1"/>
        <v>28750</v>
      </c>
    </row>
    <row r="52" spans="1:14" x14ac:dyDescent="0.3">
      <c r="A52" t="s">
        <v>92</v>
      </c>
      <c r="B52" s="1">
        <v>45860</v>
      </c>
      <c r="C52" t="s">
        <v>19</v>
      </c>
      <c r="D52" t="s">
        <v>14</v>
      </c>
      <c r="E52" t="s">
        <v>15</v>
      </c>
      <c r="F52" t="s">
        <v>16</v>
      </c>
      <c r="G52">
        <v>23</v>
      </c>
      <c r="H52">
        <v>4493</v>
      </c>
      <c r="I52">
        <v>103339</v>
      </c>
      <c r="J52">
        <v>57</v>
      </c>
      <c r="K52">
        <v>10</v>
      </c>
      <c r="L52" t="s">
        <v>17</v>
      </c>
      <c r="M52" t="str">
        <f t="shared" si="0"/>
        <v>Available</v>
      </c>
      <c r="N52">
        <f t="shared" si="1"/>
        <v>20667.800000000003</v>
      </c>
    </row>
    <row r="53" spans="1:14" x14ac:dyDescent="0.3">
      <c r="A53" t="s">
        <v>93</v>
      </c>
      <c r="B53" s="1">
        <v>45790</v>
      </c>
      <c r="C53" t="s">
        <v>13</v>
      </c>
      <c r="D53" t="s">
        <v>27</v>
      </c>
      <c r="E53" t="s">
        <v>34</v>
      </c>
      <c r="F53" t="s">
        <v>21</v>
      </c>
      <c r="G53">
        <v>33</v>
      </c>
      <c r="H53">
        <v>3146</v>
      </c>
      <c r="I53">
        <v>103818</v>
      </c>
      <c r="J53">
        <v>77</v>
      </c>
      <c r="K53">
        <v>3</v>
      </c>
      <c r="L53" t="s">
        <v>22</v>
      </c>
      <c r="M53" t="str">
        <f t="shared" si="0"/>
        <v>Available</v>
      </c>
      <c r="N53">
        <f t="shared" si="1"/>
        <v>20763.600000000002</v>
      </c>
    </row>
    <row r="54" spans="1:14" x14ac:dyDescent="0.3">
      <c r="A54" t="s">
        <v>94</v>
      </c>
      <c r="B54" s="1">
        <v>45898</v>
      </c>
      <c r="C54" t="s">
        <v>38</v>
      </c>
      <c r="D54" t="s">
        <v>14</v>
      </c>
      <c r="E54" t="s">
        <v>15</v>
      </c>
      <c r="F54" t="s">
        <v>29</v>
      </c>
      <c r="G54">
        <v>45</v>
      </c>
      <c r="H54">
        <v>2847</v>
      </c>
      <c r="I54">
        <v>128115</v>
      </c>
      <c r="J54">
        <v>242</v>
      </c>
      <c r="K54">
        <v>7</v>
      </c>
      <c r="L54" t="s">
        <v>17</v>
      </c>
      <c r="M54" t="str">
        <f t="shared" si="0"/>
        <v>Available</v>
      </c>
      <c r="N54">
        <f t="shared" si="1"/>
        <v>25623</v>
      </c>
    </row>
    <row r="55" spans="1:14" x14ac:dyDescent="0.3">
      <c r="A55" t="s">
        <v>95</v>
      </c>
      <c r="B55" s="1">
        <v>45932</v>
      </c>
      <c r="C55" t="s">
        <v>13</v>
      </c>
      <c r="D55" t="s">
        <v>51</v>
      </c>
      <c r="E55" t="s">
        <v>90</v>
      </c>
      <c r="F55" t="s">
        <v>21</v>
      </c>
      <c r="G55">
        <v>6</v>
      </c>
      <c r="H55">
        <v>4210</v>
      </c>
      <c r="I55">
        <v>25260</v>
      </c>
      <c r="J55">
        <v>144</v>
      </c>
      <c r="K55">
        <v>6</v>
      </c>
      <c r="L55" t="s">
        <v>17</v>
      </c>
      <c r="M55" t="str">
        <f t="shared" si="0"/>
        <v>Available</v>
      </c>
      <c r="N55">
        <f t="shared" si="1"/>
        <v>5052</v>
      </c>
    </row>
    <row r="56" spans="1:14" x14ac:dyDescent="0.3">
      <c r="A56" t="s">
        <v>96</v>
      </c>
      <c r="B56" s="1">
        <v>45760</v>
      </c>
      <c r="C56" t="s">
        <v>26</v>
      </c>
      <c r="D56" t="s">
        <v>27</v>
      </c>
      <c r="E56" t="s">
        <v>34</v>
      </c>
      <c r="F56" t="s">
        <v>29</v>
      </c>
      <c r="G56">
        <v>25</v>
      </c>
      <c r="H56">
        <v>4146</v>
      </c>
      <c r="I56">
        <v>103650</v>
      </c>
      <c r="J56">
        <v>240</v>
      </c>
      <c r="K56">
        <v>7</v>
      </c>
      <c r="L56" t="s">
        <v>17</v>
      </c>
      <c r="M56" t="str">
        <f t="shared" si="0"/>
        <v>Available</v>
      </c>
      <c r="N56">
        <f t="shared" si="1"/>
        <v>20730</v>
      </c>
    </row>
    <row r="57" spans="1:14" x14ac:dyDescent="0.3">
      <c r="A57" t="s">
        <v>97</v>
      </c>
      <c r="B57" s="1">
        <v>45740</v>
      </c>
      <c r="C57" t="s">
        <v>13</v>
      </c>
      <c r="D57" t="s">
        <v>27</v>
      </c>
      <c r="E57" t="s">
        <v>83</v>
      </c>
      <c r="F57" t="s">
        <v>16</v>
      </c>
      <c r="G57">
        <v>25</v>
      </c>
      <c r="H57">
        <v>4964</v>
      </c>
      <c r="I57">
        <v>124100</v>
      </c>
      <c r="J57">
        <v>280</v>
      </c>
      <c r="K57">
        <v>3</v>
      </c>
      <c r="L57" t="s">
        <v>22</v>
      </c>
      <c r="M57" t="str">
        <f t="shared" si="0"/>
        <v>Available</v>
      </c>
      <c r="N57">
        <f t="shared" si="1"/>
        <v>24820</v>
      </c>
    </row>
    <row r="58" spans="1:14" x14ac:dyDescent="0.3">
      <c r="A58" t="s">
        <v>98</v>
      </c>
      <c r="B58" s="1">
        <v>45943</v>
      </c>
      <c r="C58" t="s">
        <v>38</v>
      </c>
      <c r="D58" t="s">
        <v>27</v>
      </c>
      <c r="E58" t="s">
        <v>28</v>
      </c>
      <c r="F58" t="s">
        <v>24</v>
      </c>
      <c r="G58">
        <v>23</v>
      </c>
      <c r="H58">
        <v>684</v>
      </c>
      <c r="I58">
        <v>15732</v>
      </c>
      <c r="J58">
        <v>137</v>
      </c>
      <c r="K58">
        <v>8</v>
      </c>
      <c r="L58" t="s">
        <v>17</v>
      </c>
      <c r="M58" t="str">
        <f t="shared" si="0"/>
        <v>Available</v>
      </c>
      <c r="N58">
        <f t="shared" si="1"/>
        <v>3146.4</v>
      </c>
    </row>
    <row r="59" spans="1:14" x14ac:dyDescent="0.3">
      <c r="A59" t="s">
        <v>99</v>
      </c>
      <c r="B59" s="1">
        <v>45777</v>
      </c>
      <c r="C59" t="s">
        <v>38</v>
      </c>
      <c r="D59" t="s">
        <v>31</v>
      </c>
      <c r="E59" t="s">
        <v>45</v>
      </c>
      <c r="F59" t="s">
        <v>29</v>
      </c>
      <c r="G59">
        <v>48</v>
      </c>
      <c r="H59">
        <v>743</v>
      </c>
      <c r="I59">
        <v>35664</v>
      </c>
      <c r="J59">
        <v>126</v>
      </c>
      <c r="K59">
        <v>3</v>
      </c>
      <c r="L59" t="s">
        <v>22</v>
      </c>
      <c r="M59" t="str">
        <f t="shared" si="0"/>
        <v>Available</v>
      </c>
      <c r="N59">
        <f t="shared" si="1"/>
        <v>7132.8</v>
      </c>
    </row>
    <row r="60" spans="1:14" x14ac:dyDescent="0.3">
      <c r="A60" t="s">
        <v>100</v>
      </c>
      <c r="B60" s="1">
        <v>45779</v>
      </c>
      <c r="C60" t="s">
        <v>26</v>
      </c>
      <c r="D60" t="s">
        <v>51</v>
      </c>
      <c r="E60" t="s">
        <v>56</v>
      </c>
      <c r="F60" t="s">
        <v>24</v>
      </c>
      <c r="G60">
        <v>28</v>
      </c>
      <c r="H60">
        <v>1246</v>
      </c>
      <c r="I60">
        <v>34888</v>
      </c>
      <c r="J60">
        <v>46</v>
      </c>
      <c r="K60">
        <v>7</v>
      </c>
      <c r="L60" t="s">
        <v>17</v>
      </c>
      <c r="M60" t="str">
        <f t="shared" si="0"/>
        <v>Reorder</v>
      </c>
      <c r="N60">
        <f t="shared" si="1"/>
        <v>6977.6</v>
      </c>
    </row>
    <row r="61" spans="1:14" x14ac:dyDescent="0.3">
      <c r="A61" t="s">
        <v>101</v>
      </c>
      <c r="B61" s="1">
        <v>45702</v>
      </c>
      <c r="C61" t="s">
        <v>13</v>
      </c>
      <c r="D61" t="s">
        <v>31</v>
      </c>
      <c r="E61" t="s">
        <v>76</v>
      </c>
      <c r="F61" t="s">
        <v>29</v>
      </c>
      <c r="G61">
        <v>38</v>
      </c>
      <c r="H61">
        <v>4761</v>
      </c>
      <c r="I61">
        <v>180918</v>
      </c>
      <c r="J61">
        <v>138</v>
      </c>
      <c r="K61">
        <v>8</v>
      </c>
      <c r="L61" t="s">
        <v>17</v>
      </c>
      <c r="M61" t="str">
        <f t="shared" si="0"/>
        <v>Available</v>
      </c>
      <c r="N61">
        <f t="shared" si="1"/>
        <v>36183.599999999999</v>
      </c>
    </row>
    <row r="62" spans="1:14" x14ac:dyDescent="0.3">
      <c r="A62" t="s">
        <v>102</v>
      </c>
      <c r="B62" s="1">
        <v>45777</v>
      </c>
      <c r="C62" t="s">
        <v>13</v>
      </c>
      <c r="D62" t="s">
        <v>51</v>
      </c>
      <c r="E62" t="s">
        <v>56</v>
      </c>
      <c r="F62" t="s">
        <v>24</v>
      </c>
      <c r="G62">
        <v>7</v>
      </c>
      <c r="H62">
        <v>4838</v>
      </c>
      <c r="I62">
        <v>33866</v>
      </c>
      <c r="J62">
        <v>16</v>
      </c>
      <c r="K62">
        <v>7</v>
      </c>
      <c r="L62" t="s">
        <v>17</v>
      </c>
      <c r="M62" t="str">
        <f t="shared" si="0"/>
        <v>Reorder</v>
      </c>
      <c r="N62">
        <f t="shared" si="1"/>
        <v>6773.2000000000007</v>
      </c>
    </row>
    <row r="63" spans="1:14" x14ac:dyDescent="0.3">
      <c r="A63" t="s">
        <v>103</v>
      </c>
      <c r="B63" s="1">
        <v>45670</v>
      </c>
      <c r="C63" t="s">
        <v>38</v>
      </c>
      <c r="D63" t="s">
        <v>51</v>
      </c>
      <c r="E63" t="s">
        <v>52</v>
      </c>
      <c r="F63" t="s">
        <v>24</v>
      </c>
      <c r="G63">
        <v>11</v>
      </c>
      <c r="H63">
        <v>749</v>
      </c>
      <c r="I63">
        <v>8239</v>
      </c>
      <c r="J63">
        <v>172</v>
      </c>
      <c r="K63">
        <v>2</v>
      </c>
      <c r="L63" t="s">
        <v>22</v>
      </c>
      <c r="M63" t="str">
        <f t="shared" si="0"/>
        <v>Available</v>
      </c>
      <c r="N63">
        <f t="shared" si="1"/>
        <v>1647.8000000000002</v>
      </c>
    </row>
    <row r="64" spans="1:14" x14ac:dyDescent="0.3">
      <c r="A64" t="s">
        <v>104</v>
      </c>
      <c r="B64" s="1">
        <v>45903</v>
      </c>
      <c r="C64" t="s">
        <v>13</v>
      </c>
      <c r="D64" t="s">
        <v>14</v>
      </c>
      <c r="E64" t="s">
        <v>20</v>
      </c>
      <c r="F64" t="s">
        <v>24</v>
      </c>
      <c r="G64">
        <v>36</v>
      </c>
      <c r="H64">
        <v>3078</v>
      </c>
      <c r="I64">
        <v>110808</v>
      </c>
      <c r="J64">
        <v>105</v>
      </c>
      <c r="K64">
        <v>7</v>
      </c>
      <c r="L64" t="s">
        <v>17</v>
      </c>
      <c r="M64" t="str">
        <f t="shared" si="0"/>
        <v>Available</v>
      </c>
      <c r="N64">
        <f t="shared" si="1"/>
        <v>22161.600000000002</v>
      </c>
    </row>
    <row r="65" spans="1:14" x14ac:dyDescent="0.3">
      <c r="A65" t="s">
        <v>105</v>
      </c>
      <c r="B65" s="1">
        <v>45835</v>
      </c>
      <c r="C65" t="s">
        <v>38</v>
      </c>
      <c r="D65" t="s">
        <v>31</v>
      </c>
      <c r="E65" t="s">
        <v>45</v>
      </c>
      <c r="F65" t="s">
        <v>24</v>
      </c>
      <c r="G65">
        <v>42</v>
      </c>
      <c r="H65">
        <v>3555</v>
      </c>
      <c r="I65">
        <v>149310</v>
      </c>
      <c r="J65">
        <v>171</v>
      </c>
      <c r="K65">
        <v>3</v>
      </c>
      <c r="L65" t="s">
        <v>22</v>
      </c>
      <c r="M65" t="str">
        <f t="shared" si="0"/>
        <v>Available</v>
      </c>
      <c r="N65">
        <f t="shared" si="1"/>
        <v>29862</v>
      </c>
    </row>
    <row r="66" spans="1:14" x14ac:dyDescent="0.3">
      <c r="A66" t="s">
        <v>106</v>
      </c>
      <c r="B66" s="1">
        <v>45782</v>
      </c>
      <c r="C66" t="s">
        <v>26</v>
      </c>
      <c r="D66" t="s">
        <v>51</v>
      </c>
      <c r="E66" t="s">
        <v>52</v>
      </c>
      <c r="F66" t="s">
        <v>24</v>
      </c>
      <c r="G66">
        <v>4</v>
      </c>
      <c r="H66">
        <v>4850</v>
      </c>
      <c r="I66">
        <v>19400</v>
      </c>
      <c r="J66">
        <v>170</v>
      </c>
      <c r="K66">
        <v>7</v>
      </c>
      <c r="L66" t="s">
        <v>17</v>
      </c>
      <c r="M66" t="str">
        <f t="shared" si="0"/>
        <v>Available</v>
      </c>
      <c r="N66">
        <f t="shared" si="1"/>
        <v>3880</v>
      </c>
    </row>
    <row r="67" spans="1:14" x14ac:dyDescent="0.3">
      <c r="A67" t="s">
        <v>107</v>
      </c>
      <c r="B67" s="1">
        <v>45921</v>
      </c>
      <c r="C67" t="s">
        <v>26</v>
      </c>
      <c r="D67" t="s">
        <v>31</v>
      </c>
      <c r="E67" t="s">
        <v>45</v>
      </c>
      <c r="F67" t="s">
        <v>29</v>
      </c>
      <c r="G67">
        <v>41</v>
      </c>
      <c r="H67">
        <v>3797</v>
      </c>
      <c r="I67">
        <v>155677</v>
      </c>
      <c r="J67">
        <v>176</v>
      </c>
      <c r="K67">
        <v>10</v>
      </c>
      <c r="L67" t="s">
        <v>17</v>
      </c>
      <c r="M67" t="str">
        <f t="shared" ref="M67:M130" si="2">IF(J67&lt;50,"Reorder","Available")</f>
        <v>Available</v>
      </c>
      <c r="N67">
        <f t="shared" ref="N67:N130" si="3">I67*20%</f>
        <v>31135.4</v>
      </c>
    </row>
    <row r="68" spans="1:14" x14ac:dyDescent="0.3">
      <c r="A68" t="s">
        <v>108</v>
      </c>
      <c r="B68" s="1">
        <v>45730</v>
      </c>
      <c r="C68" t="s">
        <v>19</v>
      </c>
      <c r="D68" t="s">
        <v>51</v>
      </c>
      <c r="E68" t="s">
        <v>52</v>
      </c>
      <c r="F68" t="s">
        <v>29</v>
      </c>
      <c r="G68">
        <v>16</v>
      </c>
      <c r="H68">
        <v>2762</v>
      </c>
      <c r="I68">
        <v>44192</v>
      </c>
      <c r="J68">
        <v>189</v>
      </c>
      <c r="K68">
        <v>9</v>
      </c>
      <c r="L68" t="s">
        <v>17</v>
      </c>
      <c r="M68" t="str">
        <f t="shared" si="2"/>
        <v>Available</v>
      </c>
      <c r="N68">
        <f t="shared" si="3"/>
        <v>8838.4</v>
      </c>
    </row>
    <row r="69" spans="1:14" x14ac:dyDescent="0.3">
      <c r="A69" t="s">
        <v>109</v>
      </c>
      <c r="B69" s="1">
        <v>45787</v>
      </c>
      <c r="C69" t="s">
        <v>38</v>
      </c>
      <c r="D69" t="s">
        <v>51</v>
      </c>
      <c r="E69" t="s">
        <v>66</v>
      </c>
      <c r="F69" t="s">
        <v>29</v>
      </c>
      <c r="G69">
        <v>50</v>
      </c>
      <c r="H69">
        <v>3972</v>
      </c>
      <c r="I69">
        <v>198600</v>
      </c>
      <c r="J69">
        <v>118</v>
      </c>
      <c r="K69">
        <v>2</v>
      </c>
      <c r="L69" t="s">
        <v>22</v>
      </c>
      <c r="M69" t="str">
        <f t="shared" si="2"/>
        <v>Available</v>
      </c>
      <c r="N69">
        <f t="shared" si="3"/>
        <v>39720</v>
      </c>
    </row>
    <row r="70" spans="1:14" x14ac:dyDescent="0.3">
      <c r="A70" t="s">
        <v>110</v>
      </c>
      <c r="B70" s="1">
        <v>45731</v>
      </c>
      <c r="C70" t="s">
        <v>19</v>
      </c>
      <c r="D70" t="s">
        <v>51</v>
      </c>
      <c r="E70" t="s">
        <v>90</v>
      </c>
      <c r="F70" t="s">
        <v>21</v>
      </c>
      <c r="G70">
        <v>41</v>
      </c>
      <c r="H70">
        <v>2423</v>
      </c>
      <c r="I70">
        <v>99343</v>
      </c>
      <c r="J70">
        <v>241</v>
      </c>
      <c r="K70">
        <v>6</v>
      </c>
      <c r="L70" t="s">
        <v>17</v>
      </c>
      <c r="M70" t="str">
        <f t="shared" si="2"/>
        <v>Available</v>
      </c>
      <c r="N70">
        <f t="shared" si="3"/>
        <v>19868.600000000002</v>
      </c>
    </row>
    <row r="71" spans="1:14" x14ac:dyDescent="0.3">
      <c r="A71" t="s">
        <v>111</v>
      </c>
      <c r="B71" s="1">
        <v>45889</v>
      </c>
      <c r="C71" t="s">
        <v>13</v>
      </c>
      <c r="D71" t="s">
        <v>31</v>
      </c>
      <c r="E71" t="s">
        <v>45</v>
      </c>
      <c r="F71" t="s">
        <v>29</v>
      </c>
      <c r="G71">
        <v>41</v>
      </c>
      <c r="H71">
        <v>1692</v>
      </c>
      <c r="I71">
        <v>69372</v>
      </c>
      <c r="J71">
        <v>154</v>
      </c>
      <c r="K71">
        <v>4</v>
      </c>
      <c r="L71" t="s">
        <v>22</v>
      </c>
      <c r="M71" t="str">
        <f t="shared" si="2"/>
        <v>Available</v>
      </c>
      <c r="N71">
        <f t="shared" si="3"/>
        <v>13874.400000000001</v>
      </c>
    </row>
    <row r="72" spans="1:14" x14ac:dyDescent="0.3">
      <c r="A72" t="s">
        <v>112</v>
      </c>
      <c r="B72" s="1">
        <v>45727</v>
      </c>
      <c r="C72" t="s">
        <v>19</v>
      </c>
      <c r="D72" t="s">
        <v>51</v>
      </c>
      <c r="E72" t="s">
        <v>52</v>
      </c>
      <c r="F72" t="s">
        <v>29</v>
      </c>
      <c r="G72">
        <v>32</v>
      </c>
      <c r="H72">
        <v>2749</v>
      </c>
      <c r="I72">
        <v>87968</v>
      </c>
      <c r="J72">
        <v>191</v>
      </c>
      <c r="K72">
        <v>5</v>
      </c>
      <c r="L72" t="s">
        <v>22</v>
      </c>
      <c r="M72" t="str">
        <f t="shared" si="2"/>
        <v>Available</v>
      </c>
      <c r="N72">
        <f t="shared" si="3"/>
        <v>17593.600000000002</v>
      </c>
    </row>
    <row r="73" spans="1:14" x14ac:dyDescent="0.3">
      <c r="A73" t="s">
        <v>113</v>
      </c>
      <c r="B73" s="1">
        <v>45958</v>
      </c>
      <c r="C73" t="s">
        <v>13</v>
      </c>
      <c r="D73" t="s">
        <v>51</v>
      </c>
      <c r="E73" t="s">
        <v>66</v>
      </c>
      <c r="F73" t="s">
        <v>29</v>
      </c>
      <c r="G73">
        <v>17</v>
      </c>
      <c r="H73">
        <v>2885</v>
      </c>
      <c r="I73">
        <v>49045</v>
      </c>
      <c r="J73">
        <v>98</v>
      </c>
      <c r="K73">
        <v>4</v>
      </c>
      <c r="L73" t="s">
        <v>22</v>
      </c>
      <c r="M73" t="str">
        <f t="shared" si="2"/>
        <v>Available</v>
      </c>
      <c r="N73">
        <f t="shared" si="3"/>
        <v>9809</v>
      </c>
    </row>
    <row r="74" spans="1:14" x14ac:dyDescent="0.3">
      <c r="A74" t="s">
        <v>114</v>
      </c>
      <c r="B74" s="1">
        <v>45982</v>
      </c>
      <c r="C74" t="s">
        <v>19</v>
      </c>
      <c r="D74" t="s">
        <v>31</v>
      </c>
      <c r="E74" t="s">
        <v>40</v>
      </c>
      <c r="F74" t="s">
        <v>24</v>
      </c>
      <c r="G74">
        <v>11</v>
      </c>
      <c r="H74">
        <v>2239</v>
      </c>
      <c r="I74">
        <v>24629</v>
      </c>
      <c r="J74">
        <v>184</v>
      </c>
      <c r="K74">
        <v>7</v>
      </c>
      <c r="L74" t="s">
        <v>17</v>
      </c>
      <c r="M74" t="str">
        <f t="shared" si="2"/>
        <v>Available</v>
      </c>
      <c r="N74">
        <f t="shared" si="3"/>
        <v>4925.8</v>
      </c>
    </row>
    <row r="75" spans="1:14" x14ac:dyDescent="0.3">
      <c r="A75" t="s">
        <v>115</v>
      </c>
      <c r="B75" s="1">
        <v>45745</v>
      </c>
      <c r="C75" t="s">
        <v>19</v>
      </c>
      <c r="D75" t="s">
        <v>14</v>
      </c>
      <c r="E75" t="s">
        <v>15</v>
      </c>
      <c r="F75" t="s">
        <v>29</v>
      </c>
      <c r="G75">
        <v>30</v>
      </c>
      <c r="H75">
        <v>1440</v>
      </c>
      <c r="I75">
        <v>43200</v>
      </c>
      <c r="J75">
        <v>99</v>
      </c>
      <c r="K75">
        <v>2</v>
      </c>
      <c r="L75" t="s">
        <v>22</v>
      </c>
      <c r="M75" t="str">
        <f t="shared" si="2"/>
        <v>Available</v>
      </c>
      <c r="N75">
        <f t="shared" si="3"/>
        <v>8640</v>
      </c>
    </row>
    <row r="76" spans="1:14" x14ac:dyDescent="0.3">
      <c r="A76" t="s">
        <v>116</v>
      </c>
      <c r="B76" s="1">
        <v>45736</v>
      </c>
      <c r="C76" t="s">
        <v>13</v>
      </c>
      <c r="D76" t="s">
        <v>51</v>
      </c>
      <c r="E76" t="s">
        <v>56</v>
      </c>
      <c r="F76" t="s">
        <v>29</v>
      </c>
      <c r="G76">
        <v>12</v>
      </c>
      <c r="H76">
        <v>3461</v>
      </c>
      <c r="I76">
        <v>41532</v>
      </c>
      <c r="J76">
        <v>284</v>
      </c>
      <c r="K76">
        <v>3</v>
      </c>
      <c r="L76" t="s">
        <v>22</v>
      </c>
      <c r="M76" t="str">
        <f t="shared" si="2"/>
        <v>Available</v>
      </c>
      <c r="N76">
        <f t="shared" si="3"/>
        <v>8306.4</v>
      </c>
    </row>
    <row r="77" spans="1:14" x14ac:dyDescent="0.3">
      <c r="A77" t="s">
        <v>117</v>
      </c>
      <c r="B77" s="1">
        <v>46007</v>
      </c>
      <c r="C77" t="s">
        <v>38</v>
      </c>
      <c r="D77" t="s">
        <v>14</v>
      </c>
      <c r="E77" t="s">
        <v>20</v>
      </c>
      <c r="F77" t="s">
        <v>21</v>
      </c>
      <c r="G77">
        <v>29</v>
      </c>
      <c r="H77">
        <v>4747</v>
      </c>
      <c r="I77">
        <v>137663</v>
      </c>
      <c r="J77">
        <v>297</v>
      </c>
      <c r="K77">
        <v>9</v>
      </c>
      <c r="L77" t="s">
        <v>17</v>
      </c>
      <c r="M77" t="str">
        <f t="shared" si="2"/>
        <v>Available</v>
      </c>
      <c r="N77">
        <f t="shared" si="3"/>
        <v>27532.600000000002</v>
      </c>
    </row>
    <row r="78" spans="1:14" x14ac:dyDescent="0.3">
      <c r="A78" t="s">
        <v>118</v>
      </c>
      <c r="B78" s="1">
        <v>45819</v>
      </c>
      <c r="C78" t="s">
        <v>26</v>
      </c>
      <c r="D78" t="s">
        <v>14</v>
      </c>
      <c r="E78" t="s">
        <v>42</v>
      </c>
      <c r="F78" t="s">
        <v>24</v>
      </c>
      <c r="G78">
        <v>21</v>
      </c>
      <c r="H78">
        <v>4117</v>
      </c>
      <c r="I78">
        <v>86457</v>
      </c>
      <c r="J78">
        <v>69</v>
      </c>
      <c r="K78">
        <v>8</v>
      </c>
      <c r="L78" t="s">
        <v>17</v>
      </c>
      <c r="M78" t="str">
        <f t="shared" si="2"/>
        <v>Available</v>
      </c>
      <c r="N78">
        <f t="shared" si="3"/>
        <v>17291.400000000001</v>
      </c>
    </row>
    <row r="79" spans="1:14" x14ac:dyDescent="0.3">
      <c r="A79" t="s">
        <v>119</v>
      </c>
      <c r="B79" s="1">
        <v>45930</v>
      </c>
      <c r="C79" t="s">
        <v>13</v>
      </c>
      <c r="D79" t="s">
        <v>27</v>
      </c>
      <c r="E79" t="s">
        <v>34</v>
      </c>
      <c r="F79" t="s">
        <v>21</v>
      </c>
      <c r="G79">
        <v>33</v>
      </c>
      <c r="H79">
        <v>3947</v>
      </c>
      <c r="I79">
        <v>130251</v>
      </c>
      <c r="J79">
        <v>90</v>
      </c>
      <c r="K79">
        <v>2</v>
      </c>
      <c r="L79" t="s">
        <v>22</v>
      </c>
      <c r="M79" t="str">
        <f t="shared" si="2"/>
        <v>Available</v>
      </c>
      <c r="N79">
        <f t="shared" si="3"/>
        <v>26050.2</v>
      </c>
    </row>
    <row r="80" spans="1:14" x14ac:dyDescent="0.3">
      <c r="A80" t="s">
        <v>120</v>
      </c>
      <c r="B80" s="1">
        <v>45897</v>
      </c>
      <c r="C80" t="s">
        <v>38</v>
      </c>
      <c r="D80" t="s">
        <v>27</v>
      </c>
      <c r="E80" t="s">
        <v>64</v>
      </c>
      <c r="F80" t="s">
        <v>29</v>
      </c>
      <c r="G80">
        <v>21</v>
      </c>
      <c r="H80">
        <v>4539</v>
      </c>
      <c r="I80">
        <v>95319</v>
      </c>
      <c r="J80">
        <v>245</v>
      </c>
      <c r="K80">
        <v>3</v>
      </c>
      <c r="L80" t="s">
        <v>22</v>
      </c>
      <c r="M80" t="str">
        <f t="shared" si="2"/>
        <v>Available</v>
      </c>
      <c r="N80">
        <f t="shared" si="3"/>
        <v>19063.8</v>
      </c>
    </row>
    <row r="81" spans="1:14" x14ac:dyDescent="0.3">
      <c r="A81" t="s">
        <v>121</v>
      </c>
      <c r="B81" s="1">
        <v>45799</v>
      </c>
      <c r="C81" t="s">
        <v>13</v>
      </c>
      <c r="D81" t="s">
        <v>14</v>
      </c>
      <c r="E81" t="s">
        <v>42</v>
      </c>
      <c r="F81" t="s">
        <v>21</v>
      </c>
      <c r="G81">
        <v>48</v>
      </c>
      <c r="H81">
        <v>4764</v>
      </c>
      <c r="I81">
        <v>228672</v>
      </c>
      <c r="J81">
        <v>259</v>
      </c>
      <c r="K81">
        <v>8</v>
      </c>
      <c r="L81" t="s">
        <v>17</v>
      </c>
      <c r="M81" t="str">
        <f t="shared" si="2"/>
        <v>Available</v>
      </c>
      <c r="N81">
        <f t="shared" si="3"/>
        <v>45734.400000000001</v>
      </c>
    </row>
    <row r="82" spans="1:14" x14ac:dyDescent="0.3">
      <c r="A82" t="s">
        <v>122</v>
      </c>
      <c r="B82" s="1">
        <v>45996</v>
      </c>
      <c r="C82" t="s">
        <v>38</v>
      </c>
      <c r="D82" t="s">
        <v>51</v>
      </c>
      <c r="E82" t="s">
        <v>52</v>
      </c>
      <c r="F82" t="s">
        <v>29</v>
      </c>
      <c r="G82">
        <v>7</v>
      </c>
      <c r="H82">
        <v>3966</v>
      </c>
      <c r="I82">
        <v>27762</v>
      </c>
      <c r="J82">
        <v>221</v>
      </c>
      <c r="K82">
        <v>8</v>
      </c>
      <c r="L82" t="s">
        <v>17</v>
      </c>
      <c r="M82" t="str">
        <f t="shared" si="2"/>
        <v>Available</v>
      </c>
      <c r="N82">
        <f t="shared" si="3"/>
        <v>5552.4000000000005</v>
      </c>
    </row>
    <row r="83" spans="1:14" x14ac:dyDescent="0.3">
      <c r="A83" t="s">
        <v>123</v>
      </c>
      <c r="B83" s="1">
        <v>45851</v>
      </c>
      <c r="C83" t="s">
        <v>19</v>
      </c>
      <c r="D83" t="s">
        <v>31</v>
      </c>
      <c r="E83" t="s">
        <v>45</v>
      </c>
      <c r="F83" t="s">
        <v>21</v>
      </c>
      <c r="G83">
        <v>41</v>
      </c>
      <c r="H83">
        <v>3519</v>
      </c>
      <c r="I83">
        <v>144279</v>
      </c>
      <c r="J83">
        <v>106</v>
      </c>
      <c r="K83">
        <v>9</v>
      </c>
      <c r="L83" t="s">
        <v>17</v>
      </c>
      <c r="M83" t="str">
        <f t="shared" si="2"/>
        <v>Available</v>
      </c>
      <c r="N83">
        <f t="shared" si="3"/>
        <v>28855.800000000003</v>
      </c>
    </row>
    <row r="84" spans="1:14" x14ac:dyDescent="0.3">
      <c r="A84" t="s">
        <v>124</v>
      </c>
      <c r="B84" s="1">
        <v>45919</v>
      </c>
      <c r="C84" t="s">
        <v>19</v>
      </c>
      <c r="D84" t="s">
        <v>31</v>
      </c>
      <c r="E84" t="s">
        <v>40</v>
      </c>
      <c r="F84" t="s">
        <v>21</v>
      </c>
      <c r="G84">
        <v>5</v>
      </c>
      <c r="H84">
        <v>3288</v>
      </c>
      <c r="I84">
        <v>16440</v>
      </c>
      <c r="J84">
        <v>222</v>
      </c>
      <c r="K84">
        <v>6</v>
      </c>
      <c r="L84" t="s">
        <v>17</v>
      </c>
      <c r="M84" t="str">
        <f t="shared" si="2"/>
        <v>Available</v>
      </c>
      <c r="N84">
        <f t="shared" si="3"/>
        <v>3288</v>
      </c>
    </row>
    <row r="85" spans="1:14" x14ac:dyDescent="0.3">
      <c r="A85" t="s">
        <v>125</v>
      </c>
      <c r="B85" s="1">
        <v>45700</v>
      </c>
      <c r="C85" t="s">
        <v>13</v>
      </c>
      <c r="D85" t="s">
        <v>51</v>
      </c>
      <c r="E85" t="s">
        <v>56</v>
      </c>
      <c r="F85" t="s">
        <v>29</v>
      </c>
      <c r="G85">
        <v>45</v>
      </c>
      <c r="H85">
        <v>2451</v>
      </c>
      <c r="I85">
        <v>110295</v>
      </c>
      <c r="J85">
        <v>286</v>
      </c>
      <c r="K85">
        <v>5</v>
      </c>
      <c r="L85" t="s">
        <v>22</v>
      </c>
      <c r="M85" t="str">
        <f t="shared" si="2"/>
        <v>Available</v>
      </c>
      <c r="N85">
        <f t="shared" si="3"/>
        <v>22059</v>
      </c>
    </row>
    <row r="86" spans="1:14" x14ac:dyDescent="0.3">
      <c r="A86" t="s">
        <v>126</v>
      </c>
      <c r="B86" s="1">
        <v>45787</v>
      </c>
      <c r="C86" t="s">
        <v>26</v>
      </c>
      <c r="D86" t="s">
        <v>27</v>
      </c>
      <c r="E86" t="s">
        <v>64</v>
      </c>
      <c r="F86" t="s">
        <v>16</v>
      </c>
      <c r="G86">
        <v>10</v>
      </c>
      <c r="H86">
        <v>2517</v>
      </c>
      <c r="I86">
        <v>25170</v>
      </c>
      <c r="J86">
        <v>61</v>
      </c>
      <c r="K86">
        <v>9</v>
      </c>
      <c r="L86" t="s">
        <v>17</v>
      </c>
      <c r="M86" t="str">
        <f t="shared" si="2"/>
        <v>Available</v>
      </c>
      <c r="N86">
        <f t="shared" si="3"/>
        <v>5034</v>
      </c>
    </row>
    <row r="87" spans="1:14" x14ac:dyDescent="0.3">
      <c r="A87" t="s">
        <v>127</v>
      </c>
      <c r="B87" s="1">
        <v>45863</v>
      </c>
      <c r="C87" t="s">
        <v>38</v>
      </c>
      <c r="D87" t="s">
        <v>14</v>
      </c>
      <c r="E87" t="s">
        <v>58</v>
      </c>
      <c r="F87" t="s">
        <v>16</v>
      </c>
      <c r="G87">
        <v>18</v>
      </c>
      <c r="H87">
        <v>4907</v>
      </c>
      <c r="I87">
        <v>88326</v>
      </c>
      <c r="J87">
        <v>21</v>
      </c>
      <c r="K87">
        <v>2</v>
      </c>
      <c r="L87" t="s">
        <v>22</v>
      </c>
      <c r="M87" t="str">
        <f t="shared" si="2"/>
        <v>Reorder</v>
      </c>
      <c r="N87">
        <f t="shared" si="3"/>
        <v>17665.2</v>
      </c>
    </row>
    <row r="88" spans="1:14" x14ac:dyDescent="0.3">
      <c r="A88" t="s">
        <v>128</v>
      </c>
      <c r="B88" s="1">
        <v>45662</v>
      </c>
      <c r="C88" t="s">
        <v>13</v>
      </c>
      <c r="D88" t="s">
        <v>27</v>
      </c>
      <c r="E88" t="s">
        <v>34</v>
      </c>
      <c r="F88" t="s">
        <v>29</v>
      </c>
      <c r="G88">
        <v>1</v>
      </c>
      <c r="H88">
        <v>4982</v>
      </c>
      <c r="I88">
        <v>4982</v>
      </c>
      <c r="J88">
        <v>60</v>
      </c>
      <c r="K88">
        <v>5</v>
      </c>
      <c r="L88" t="s">
        <v>22</v>
      </c>
      <c r="M88" t="str">
        <f t="shared" si="2"/>
        <v>Available</v>
      </c>
      <c r="N88">
        <f t="shared" si="3"/>
        <v>996.40000000000009</v>
      </c>
    </row>
    <row r="89" spans="1:14" x14ac:dyDescent="0.3">
      <c r="A89" t="s">
        <v>129</v>
      </c>
      <c r="B89" s="1">
        <v>45692</v>
      </c>
      <c r="C89" t="s">
        <v>19</v>
      </c>
      <c r="D89" t="s">
        <v>27</v>
      </c>
      <c r="E89" t="s">
        <v>64</v>
      </c>
      <c r="F89" t="s">
        <v>29</v>
      </c>
      <c r="G89">
        <v>36</v>
      </c>
      <c r="H89">
        <v>2546</v>
      </c>
      <c r="I89">
        <v>91656</v>
      </c>
      <c r="J89">
        <v>24</v>
      </c>
      <c r="K89">
        <v>9</v>
      </c>
      <c r="L89" t="s">
        <v>17</v>
      </c>
      <c r="M89" t="str">
        <f t="shared" si="2"/>
        <v>Reorder</v>
      </c>
      <c r="N89">
        <f t="shared" si="3"/>
        <v>18331.2</v>
      </c>
    </row>
    <row r="90" spans="1:14" x14ac:dyDescent="0.3">
      <c r="A90" t="s">
        <v>130</v>
      </c>
      <c r="B90" s="1">
        <v>45763</v>
      </c>
      <c r="C90" t="s">
        <v>26</v>
      </c>
      <c r="D90" t="s">
        <v>51</v>
      </c>
      <c r="E90" t="s">
        <v>66</v>
      </c>
      <c r="F90" t="s">
        <v>24</v>
      </c>
      <c r="G90">
        <v>38</v>
      </c>
      <c r="H90">
        <v>3269</v>
      </c>
      <c r="I90">
        <v>124222</v>
      </c>
      <c r="J90">
        <v>27</v>
      </c>
      <c r="K90">
        <v>3</v>
      </c>
      <c r="L90" t="s">
        <v>22</v>
      </c>
      <c r="M90" t="str">
        <f t="shared" si="2"/>
        <v>Reorder</v>
      </c>
      <c r="N90">
        <f t="shared" si="3"/>
        <v>24844.400000000001</v>
      </c>
    </row>
    <row r="91" spans="1:14" x14ac:dyDescent="0.3">
      <c r="A91" t="s">
        <v>131</v>
      </c>
      <c r="B91" s="1">
        <v>45883</v>
      </c>
      <c r="C91" t="s">
        <v>26</v>
      </c>
      <c r="D91" t="s">
        <v>51</v>
      </c>
      <c r="E91" t="s">
        <v>90</v>
      </c>
      <c r="F91" t="s">
        <v>21</v>
      </c>
      <c r="G91">
        <v>4</v>
      </c>
      <c r="H91">
        <v>2484</v>
      </c>
      <c r="I91">
        <v>9936</v>
      </c>
      <c r="J91">
        <v>295</v>
      </c>
      <c r="K91">
        <v>4</v>
      </c>
      <c r="L91" t="s">
        <v>22</v>
      </c>
      <c r="M91" t="str">
        <f t="shared" si="2"/>
        <v>Available</v>
      </c>
      <c r="N91">
        <f t="shared" si="3"/>
        <v>1987.2</v>
      </c>
    </row>
    <row r="92" spans="1:14" x14ac:dyDescent="0.3">
      <c r="A92" t="s">
        <v>132</v>
      </c>
      <c r="B92" s="1">
        <v>45661</v>
      </c>
      <c r="C92" t="s">
        <v>26</v>
      </c>
      <c r="D92" t="s">
        <v>27</v>
      </c>
      <c r="E92" t="s">
        <v>83</v>
      </c>
      <c r="F92" t="s">
        <v>24</v>
      </c>
      <c r="G92">
        <v>26</v>
      </c>
      <c r="H92">
        <v>3096</v>
      </c>
      <c r="I92">
        <v>80496</v>
      </c>
      <c r="J92">
        <v>109</v>
      </c>
      <c r="K92">
        <v>5</v>
      </c>
      <c r="L92" t="s">
        <v>22</v>
      </c>
      <c r="M92" t="str">
        <f t="shared" si="2"/>
        <v>Available</v>
      </c>
      <c r="N92">
        <f t="shared" si="3"/>
        <v>16099.2</v>
      </c>
    </row>
    <row r="93" spans="1:14" x14ac:dyDescent="0.3">
      <c r="A93" t="s">
        <v>133</v>
      </c>
      <c r="B93" s="1">
        <v>45825</v>
      </c>
      <c r="C93" t="s">
        <v>19</v>
      </c>
      <c r="D93" t="s">
        <v>27</v>
      </c>
      <c r="E93" t="s">
        <v>34</v>
      </c>
      <c r="F93" t="s">
        <v>16</v>
      </c>
      <c r="G93">
        <v>14</v>
      </c>
      <c r="H93">
        <v>2976</v>
      </c>
      <c r="I93">
        <v>41664</v>
      </c>
      <c r="J93">
        <v>174</v>
      </c>
      <c r="K93">
        <v>3</v>
      </c>
      <c r="L93" t="s">
        <v>22</v>
      </c>
      <c r="M93" t="str">
        <f t="shared" si="2"/>
        <v>Available</v>
      </c>
      <c r="N93">
        <f t="shared" si="3"/>
        <v>8332.8000000000011</v>
      </c>
    </row>
    <row r="94" spans="1:14" x14ac:dyDescent="0.3">
      <c r="A94" t="s">
        <v>134</v>
      </c>
      <c r="B94" s="1">
        <v>45907</v>
      </c>
      <c r="C94" t="s">
        <v>38</v>
      </c>
      <c r="D94" t="s">
        <v>14</v>
      </c>
      <c r="E94" t="s">
        <v>15</v>
      </c>
      <c r="F94" t="s">
        <v>29</v>
      </c>
      <c r="G94">
        <v>42</v>
      </c>
      <c r="H94">
        <v>621</v>
      </c>
      <c r="I94">
        <v>26082</v>
      </c>
      <c r="J94">
        <v>43</v>
      </c>
      <c r="K94">
        <v>4</v>
      </c>
      <c r="L94" t="s">
        <v>22</v>
      </c>
      <c r="M94" t="str">
        <f t="shared" si="2"/>
        <v>Reorder</v>
      </c>
      <c r="N94">
        <f t="shared" si="3"/>
        <v>5216.4000000000005</v>
      </c>
    </row>
    <row r="95" spans="1:14" x14ac:dyDescent="0.3">
      <c r="A95" t="s">
        <v>135</v>
      </c>
      <c r="B95" s="1">
        <v>45942</v>
      </c>
      <c r="C95" t="s">
        <v>19</v>
      </c>
      <c r="D95" t="s">
        <v>14</v>
      </c>
      <c r="E95" t="s">
        <v>42</v>
      </c>
      <c r="F95" t="s">
        <v>16</v>
      </c>
      <c r="G95">
        <v>33</v>
      </c>
      <c r="H95">
        <v>3610</v>
      </c>
      <c r="I95">
        <v>119130</v>
      </c>
      <c r="J95">
        <v>118</v>
      </c>
      <c r="K95">
        <v>8</v>
      </c>
      <c r="L95" t="s">
        <v>17</v>
      </c>
      <c r="M95" t="str">
        <f t="shared" si="2"/>
        <v>Available</v>
      </c>
      <c r="N95">
        <f t="shared" si="3"/>
        <v>23826</v>
      </c>
    </row>
    <row r="96" spans="1:14" x14ac:dyDescent="0.3">
      <c r="A96" t="s">
        <v>136</v>
      </c>
      <c r="B96" s="1">
        <v>45672</v>
      </c>
      <c r="C96" t="s">
        <v>19</v>
      </c>
      <c r="D96" t="s">
        <v>51</v>
      </c>
      <c r="E96" t="s">
        <v>56</v>
      </c>
      <c r="F96" t="s">
        <v>29</v>
      </c>
      <c r="G96">
        <v>28</v>
      </c>
      <c r="H96">
        <v>599</v>
      </c>
      <c r="I96">
        <v>16772</v>
      </c>
      <c r="J96">
        <v>28</v>
      </c>
      <c r="K96">
        <v>4</v>
      </c>
      <c r="L96" t="s">
        <v>22</v>
      </c>
      <c r="M96" t="str">
        <f t="shared" si="2"/>
        <v>Reorder</v>
      </c>
      <c r="N96">
        <f t="shared" si="3"/>
        <v>3354.4</v>
      </c>
    </row>
    <row r="97" spans="1:14" x14ac:dyDescent="0.3">
      <c r="A97" t="s">
        <v>137</v>
      </c>
      <c r="B97" s="1">
        <v>45834</v>
      </c>
      <c r="C97" t="s">
        <v>13</v>
      </c>
      <c r="D97" t="s">
        <v>27</v>
      </c>
      <c r="E97" t="s">
        <v>64</v>
      </c>
      <c r="F97" t="s">
        <v>21</v>
      </c>
      <c r="G97">
        <v>30</v>
      </c>
      <c r="H97">
        <v>4131</v>
      </c>
      <c r="I97">
        <v>123930</v>
      </c>
      <c r="J97">
        <v>298</v>
      </c>
      <c r="K97">
        <v>3</v>
      </c>
      <c r="L97" t="s">
        <v>22</v>
      </c>
      <c r="M97" t="str">
        <f t="shared" si="2"/>
        <v>Available</v>
      </c>
      <c r="N97">
        <f t="shared" si="3"/>
        <v>24786</v>
      </c>
    </row>
    <row r="98" spans="1:14" x14ac:dyDescent="0.3">
      <c r="A98" t="s">
        <v>138</v>
      </c>
      <c r="B98" s="1">
        <v>45681</v>
      </c>
      <c r="C98" t="s">
        <v>38</v>
      </c>
      <c r="D98" t="s">
        <v>51</v>
      </c>
      <c r="E98" t="s">
        <v>66</v>
      </c>
      <c r="F98" t="s">
        <v>21</v>
      </c>
      <c r="G98">
        <v>18</v>
      </c>
      <c r="H98">
        <v>4679</v>
      </c>
      <c r="I98">
        <v>84222</v>
      </c>
      <c r="J98">
        <v>163</v>
      </c>
      <c r="K98">
        <v>5</v>
      </c>
      <c r="L98" t="s">
        <v>22</v>
      </c>
      <c r="M98" t="str">
        <f t="shared" si="2"/>
        <v>Available</v>
      </c>
      <c r="N98">
        <f t="shared" si="3"/>
        <v>16844.400000000001</v>
      </c>
    </row>
    <row r="99" spans="1:14" x14ac:dyDescent="0.3">
      <c r="A99" t="s">
        <v>139</v>
      </c>
      <c r="B99" s="1">
        <v>45806</v>
      </c>
      <c r="C99" t="s">
        <v>19</v>
      </c>
      <c r="D99" t="s">
        <v>31</v>
      </c>
      <c r="E99" t="s">
        <v>32</v>
      </c>
      <c r="F99" t="s">
        <v>16</v>
      </c>
      <c r="G99">
        <v>23</v>
      </c>
      <c r="H99">
        <v>3380</v>
      </c>
      <c r="I99">
        <v>77740</v>
      </c>
      <c r="J99">
        <v>254</v>
      </c>
      <c r="K99">
        <v>4</v>
      </c>
      <c r="L99" t="s">
        <v>22</v>
      </c>
      <c r="M99" t="str">
        <f t="shared" si="2"/>
        <v>Available</v>
      </c>
      <c r="N99">
        <f t="shared" si="3"/>
        <v>15548</v>
      </c>
    </row>
    <row r="100" spans="1:14" x14ac:dyDescent="0.3">
      <c r="A100" t="s">
        <v>140</v>
      </c>
      <c r="B100" s="1">
        <v>45939</v>
      </c>
      <c r="C100" t="s">
        <v>38</v>
      </c>
      <c r="D100" t="s">
        <v>51</v>
      </c>
      <c r="E100" t="s">
        <v>56</v>
      </c>
      <c r="F100" t="s">
        <v>16</v>
      </c>
      <c r="G100">
        <v>48</v>
      </c>
      <c r="H100">
        <v>4592</v>
      </c>
      <c r="I100">
        <v>220416</v>
      </c>
      <c r="J100">
        <v>75</v>
      </c>
      <c r="K100">
        <v>10</v>
      </c>
      <c r="L100" t="s">
        <v>17</v>
      </c>
      <c r="M100" t="str">
        <f t="shared" si="2"/>
        <v>Available</v>
      </c>
      <c r="N100">
        <f t="shared" si="3"/>
        <v>44083.200000000004</v>
      </c>
    </row>
    <row r="101" spans="1:14" x14ac:dyDescent="0.3">
      <c r="A101" t="s">
        <v>141</v>
      </c>
      <c r="B101" s="1">
        <v>45701</v>
      </c>
      <c r="C101" t="s">
        <v>19</v>
      </c>
      <c r="D101" t="s">
        <v>31</v>
      </c>
      <c r="E101" t="s">
        <v>45</v>
      </c>
      <c r="F101" t="s">
        <v>16</v>
      </c>
      <c r="G101">
        <v>28</v>
      </c>
      <c r="H101">
        <v>1959</v>
      </c>
      <c r="I101">
        <v>54852</v>
      </c>
      <c r="J101">
        <v>84</v>
      </c>
      <c r="K101">
        <v>6</v>
      </c>
      <c r="L101" t="s">
        <v>17</v>
      </c>
      <c r="M101" t="str">
        <f t="shared" si="2"/>
        <v>Available</v>
      </c>
      <c r="N101">
        <f t="shared" si="3"/>
        <v>10970.400000000001</v>
      </c>
    </row>
    <row r="102" spans="1:14" x14ac:dyDescent="0.3">
      <c r="A102" t="s">
        <v>142</v>
      </c>
      <c r="B102" s="1">
        <v>45755</v>
      </c>
      <c r="C102" t="s">
        <v>26</v>
      </c>
      <c r="D102" t="s">
        <v>27</v>
      </c>
      <c r="E102" t="s">
        <v>83</v>
      </c>
      <c r="F102" t="s">
        <v>21</v>
      </c>
      <c r="G102">
        <v>37</v>
      </c>
      <c r="H102">
        <v>3014</v>
      </c>
      <c r="I102">
        <v>111518</v>
      </c>
      <c r="J102">
        <v>167</v>
      </c>
      <c r="K102">
        <v>7</v>
      </c>
      <c r="L102" t="s">
        <v>17</v>
      </c>
      <c r="M102" t="str">
        <f t="shared" si="2"/>
        <v>Available</v>
      </c>
      <c r="N102">
        <f t="shared" si="3"/>
        <v>22303.600000000002</v>
      </c>
    </row>
    <row r="103" spans="1:14" x14ac:dyDescent="0.3">
      <c r="A103" t="s">
        <v>143</v>
      </c>
      <c r="B103" s="1">
        <v>45816</v>
      </c>
      <c r="C103" t="s">
        <v>26</v>
      </c>
      <c r="D103" t="s">
        <v>31</v>
      </c>
      <c r="E103" t="s">
        <v>40</v>
      </c>
      <c r="F103" t="s">
        <v>21</v>
      </c>
      <c r="G103">
        <v>19</v>
      </c>
      <c r="H103">
        <v>3047</v>
      </c>
      <c r="I103">
        <v>57893</v>
      </c>
      <c r="J103">
        <v>215</v>
      </c>
      <c r="K103">
        <v>5</v>
      </c>
      <c r="L103" t="s">
        <v>22</v>
      </c>
      <c r="M103" t="str">
        <f t="shared" si="2"/>
        <v>Available</v>
      </c>
      <c r="N103">
        <f t="shared" si="3"/>
        <v>11578.6</v>
      </c>
    </row>
    <row r="104" spans="1:14" x14ac:dyDescent="0.3">
      <c r="A104" t="s">
        <v>144</v>
      </c>
      <c r="B104" s="1">
        <v>45869</v>
      </c>
      <c r="C104" t="s">
        <v>19</v>
      </c>
      <c r="D104" t="s">
        <v>51</v>
      </c>
      <c r="E104" t="s">
        <v>52</v>
      </c>
      <c r="F104" t="s">
        <v>29</v>
      </c>
      <c r="G104">
        <v>16</v>
      </c>
      <c r="H104">
        <v>2888</v>
      </c>
      <c r="I104">
        <v>46208</v>
      </c>
      <c r="J104">
        <v>252</v>
      </c>
      <c r="K104">
        <v>6</v>
      </c>
      <c r="L104" t="s">
        <v>17</v>
      </c>
      <c r="M104" t="str">
        <f t="shared" si="2"/>
        <v>Available</v>
      </c>
      <c r="N104">
        <f t="shared" si="3"/>
        <v>9241.6</v>
      </c>
    </row>
    <row r="105" spans="1:14" x14ac:dyDescent="0.3">
      <c r="A105" t="s">
        <v>145</v>
      </c>
      <c r="B105" s="1">
        <v>45824</v>
      </c>
      <c r="C105" t="s">
        <v>19</v>
      </c>
      <c r="D105" t="s">
        <v>27</v>
      </c>
      <c r="E105" t="s">
        <v>28</v>
      </c>
      <c r="F105" t="s">
        <v>16</v>
      </c>
      <c r="G105">
        <v>34</v>
      </c>
      <c r="H105">
        <v>4167</v>
      </c>
      <c r="I105">
        <v>141678</v>
      </c>
      <c r="J105">
        <v>265</v>
      </c>
      <c r="K105">
        <v>7</v>
      </c>
      <c r="L105" t="s">
        <v>17</v>
      </c>
      <c r="M105" t="str">
        <f t="shared" si="2"/>
        <v>Available</v>
      </c>
      <c r="N105">
        <f t="shared" si="3"/>
        <v>28335.600000000002</v>
      </c>
    </row>
    <row r="106" spans="1:14" x14ac:dyDescent="0.3">
      <c r="A106" t="s">
        <v>146</v>
      </c>
      <c r="B106" s="1">
        <v>45800</v>
      </c>
      <c r="C106" t="s">
        <v>19</v>
      </c>
      <c r="D106" t="s">
        <v>27</v>
      </c>
      <c r="E106" t="s">
        <v>28</v>
      </c>
      <c r="F106" t="s">
        <v>16</v>
      </c>
      <c r="G106">
        <v>48</v>
      </c>
      <c r="H106">
        <v>2110</v>
      </c>
      <c r="I106">
        <v>101280</v>
      </c>
      <c r="J106">
        <v>144</v>
      </c>
      <c r="K106">
        <v>9</v>
      </c>
      <c r="L106" t="s">
        <v>17</v>
      </c>
      <c r="M106" t="str">
        <f t="shared" si="2"/>
        <v>Available</v>
      </c>
      <c r="N106">
        <f t="shared" si="3"/>
        <v>20256</v>
      </c>
    </row>
    <row r="107" spans="1:14" x14ac:dyDescent="0.3">
      <c r="A107" t="s">
        <v>147</v>
      </c>
      <c r="B107" s="1">
        <v>45683</v>
      </c>
      <c r="C107" t="s">
        <v>13</v>
      </c>
      <c r="D107" t="s">
        <v>31</v>
      </c>
      <c r="E107" t="s">
        <v>76</v>
      </c>
      <c r="F107" t="s">
        <v>21</v>
      </c>
      <c r="G107">
        <v>11</v>
      </c>
      <c r="H107">
        <v>3263</v>
      </c>
      <c r="I107">
        <v>35893</v>
      </c>
      <c r="J107">
        <v>163</v>
      </c>
      <c r="K107">
        <v>6</v>
      </c>
      <c r="L107" t="s">
        <v>17</v>
      </c>
      <c r="M107" t="str">
        <f t="shared" si="2"/>
        <v>Available</v>
      </c>
      <c r="N107">
        <f t="shared" si="3"/>
        <v>7178.6</v>
      </c>
    </row>
    <row r="108" spans="1:14" x14ac:dyDescent="0.3">
      <c r="A108" t="s">
        <v>148</v>
      </c>
      <c r="B108" s="1">
        <v>45933</v>
      </c>
      <c r="C108" t="s">
        <v>26</v>
      </c>
      <c r="D108" t="s">
        <v>27</v>
      </c>
      <c r="E108" t="s">
        <v>34</v>
      </c>
      <c r="F108" t="s">
        <v>24</v>
      </c>
      <c r="G108">
        <v>41</v>
      </c>
      <c r="H108">
        <v>2863</v>
      </c>
      <c r="I108">
        <v>117383</v>
      </c>
      <c r="J108">
        <v>90</v>
      </c>
      <c r="K108">
        <v>3</v>
      </c>
      <c r="L108" t="s">
        <v>22</v>
      </c>
      <c r="M108" t="str">
        <f t="shared" si="2"/>
        <v>Available</v>
      </c>
      <c r="N108">
        <f t="shared" si="3"/>
        <v>23476.600000000002</v>
      </c>
    </row>
    <row r="109" spans="1:14" x14ac:dyDescent="0.3">
      <c r="A109" t="s">
        <v>149</v>
      </c>
      <c r="B109" s="1">
        <v>45713</v>
      </c>
      <c r="C109" t="s">
        <v>19</v>
      </c>
      <c r="D109" t="s">
        <v>14</v>
      </c>
      <c r="E109" t="s">
        <v>58</v>
      </c>
      <c r="F109" t="s">
        <v>16</v>
      </c>
      <c r="G109">
        <v>25</v>
      </c>
      <c r="H109">
        <v>4936</v>
      </c>
      <c r="I109">
        <v>123400</v>
      </c>
      <c r="J109">
        <v>25</v>
      </c>
      <c r="K109">
        <v>8</v>
      </c>
      <c r="L109" t="s">
        <v>17</v>
      </c>
      <c r="M109" t="str">
        <f t="shared" si="2"/>
        <v>Reorder</v>
      </c>
      <c r="N109">
        <f t="shared" si="3"/>
        <v>24680</v>
      </c>
    </row>
    <row r="110" spans="1:14" x14ac:dyDescent="0.3">
      <c r="A110" t="s">
        <v>150</v>
      </c>
      <c r="B110" s="1">
        <v>45777</v>
      </c>
      <c r="C110" t="s">
        <v>38</v>
      </c>
      <c r="D110" t="s">
        <v>51</v>
      </c>
      <c r="E110" t="s">
        <v>66</v>
      </c>
      <c r="F110" t="s">
        <v>21</v>
      </c>
      <c r="G110">
        <v>45</v>
      </c>
      <c r="H110">
        <v>1517</v>
      </c>
      <c r="I110">
        <v>68265</v>
      </c>
      <c r="J110">
        <v>126</v>
      </c>
      <c r="K110">
        <v>5</v>
      </c>
      <c r="L110" t="s">
        <v>22</v>
      </c>
      <c r="M110" t="str">
        <f t="shared" si="2"/>
        <v>Available</v>
      </c>
      <c r="N110">
        <f t="shared" si="3"/>
        <v>13653</v>
      </c>
    </row>
    <row r="111" spans="1:14" x14ac:dyDescent="0.3">
      <c r="A111" t="s">
        <v>151</v>
      </c>
      <c r="B111" s="1">
        <v>45739</v>
      </c>
      <c r="C111" t="s">
        <v>19</v>
      </c>
      <c r="D111" t="s">
        <v>51</v>
      </c>
      <c r="E111" t="s">
        <v>90</v>
      </c>
      <c r="F111" t="s">
        <v>16</v>
      </c>
      <c r="G111">
        <v>31</v>
      </c>
      <c r="H111">
        <v>4478</v>
      </c>
      <c r="I111">
        <v>138818</v>
      </c>
      <c r="J111">
        <v>63</v>
      </c>
      <c r="K111">
        <v>6</v>
      </c>
      <c r="L111" t="s">
        <v>17</v>
      </c>
      <c r="M111" t="str">
        <f t="shared" si="2"/>
        <v>Available</v>
      </c>
      <c r="N111">
        <f t="shared" si="3"/>
        <v>27763.600000000002</v>
      </c>
    </row>
    <row r="112" spans="1:14" x14ac:dyDescent="0.3">
      <c r="A112" t="s">
        <v>152</v>
      </c>
      <c r="B112" s="1">
        <v>45952</v>
      </c>
      <c r="C112" t="s">
        <v>26</v>
      </c>
      <c r="D112" t="s">
        <v>51</v>
      </c>
      <c r="E112" t="s">
        <v>90</v>
      </c>
      <c r="F112" t="s">
        <v>21</v>
      </c>
      <c r="G112">
        <v>3</v>
      </c>
      <c r="H112">
        <v>1313</v>
      </c>
      <c r="I112">
        <v>3939</v>
      </c>
      <c r="J112">
        <v>54</v>
      </c>
      <c r="K112">
        <v>5</v>
      </c>
      <c r="L112" t="s">
        <v>22</v>
      </c>
      <c r="M112" t="str">
        <f t="shared" si="2"/>
        <v>Available</v>
      </c>
      <c r="N112">
        <f t="shared" si="3"/>
        <v>787.80000000000007</v>
      </c>
    </row>
    <row r="113" spans="1:14" x14ac:dyDescent="0.3">
      <c r="A113" t="s">
        <v>153</v>
      </c>
      <c r="B113" s="1">
        <v>45804</v>
      </c>
      <c r="C113" t="s">
        <v>19</v>
      </c>
      <c r="D113" t="s">
        <v>27</v>
      </c>
      <c r="E113" t="s">
        <v>64</v>
      </c>
      <c r="F113" t="s">
        <v>24</v>
      </c>
      <c r="G113">
        <v>10</v>
      </c>
      <c r="H113">
        <v>3672</v>
      </c>
      <c r="I113">
        <v>36720</v>
      </c>
      <c r="J113">
        <v>65</v>
      </c>
      <c r="K113">
        <v>4</v>
      </c>
      <c r="L113" t="s">
        <v>22</v>
      </c>
      <c r="M113" t="str">
        <f t="shared" si="2"/>
        <v>Available</v>
      </c>
      <c r="N113">
        <f t="shared" si="3"/>
        <v>7344</v>
      </c>
    </row>
    <row r="114" spans="1:14" x14ac:dyDescent="0.3">
      <c r="A114" t="s">
        <v>154</v>
      </c>
      <c r="B114" s="1">
        <v>45993</v>
      </c>
      <c r="C114" t="s">
        <v>13</v>
      </c>
      <c r="D114" t="s">
        <v>27</v>
      </c>
      <c r="E114" t="s">
        <v>64</v>
      </c>
      <c r="F114" t="s">
        <v>16</v>
      </c>
      <c r="G114">
        <v>4</v>
      </c>
      <c r="H114">
        <v>2076</v>
      </c>
      <c r="I114">
        <v>8304</v>
      </c>
      <c r="J114">
        <v>263</v>
      </c>
      <c r="K114">
        <v>8</v>
      </c>
      <c r="L114" t="s">
        <v>17</v>
      </c>
      <c r="M114" t="str">
        <f t="shared" si="2"/>
        <v>Available</v>
      </c>
      <c r="N114">
        <f t="shared" si="3"/>
        <v>1660.8000000000002</v>
      </c>
    </row>
    <row r="115" spans="1:14" x14ac:dyDescent="0.3">
      <c r="A115" t="s">
        <v>155</v>
      </c>
      <c r="B115" s="1">
        <v>45751</v>
      </c>
      <c r="C115" t="s">
        <v>26</v>
      </c>
      <c r="D115" t="s">
        <v>31</v>
      </c>
      <c r="E115" t="s">
        <v>45</v>
      </c>
      <c r="F115" t="s">
        <v>21</v>
      </c>
      <c r="G115">
        <v>7</v>
      </c>
      <c r="H115">
        <v>4657</v>
      </c>
      <c r="I115">
        <v>32599</v>
      </c>
      <c r="J115">
        <v>201</v>
      </c>
      <c r="K115">
        <v>9</v>
      </c>
      <c r="L115" t="s">
        <v>17</v>
      </c>
      <c r="M115" t="str">
        <f t="shared" si="2"/>
        <v>Available</v>
      </c>
      <c r="N115">
        <f t="shared" si="3"/>
        <v>6519.8</v>
      </c>
    </row>
    <row r="116" spans="1:14" x14ac:dyDescent="0.3">
      <c r="A116" t="s">
        <v>156</v>
      </c>
      <c r="B116" s="1">
        <v>45688</v>
      </c>
      <c r="C116" t="s">
        <v>13</v>
      </c>
      <c r="D116" t="s">
        <v>14</v>
      </c>
      <c r="E116" t="s">
        <v>15</v>
      </c>
      <c r="F116" t="s">
        <v>16</v>
      </c>
      <c r="G116">
        <v>35</v>
      </c>
      <c r="H116">
        <v>1898</v>
      </c>
      <c r="I116">
        <v>66430</v>
      </c>
      <c r="J116">
        <v>14</v>
      </c>
      <c r="K116">
        <v>5</v>
      </c>
      <c r="L116" t="s">
        <v>22</v>
      </c>
      <c r="M116" t="str">
        <f t="shared" si="2"/>
        <v>Reorder</v>
      </c>
      <c r="N116">
        <f t="shared" si="3"/>
        <v>13286</v>
      </c>
    </row>
    <row r="117" spans="1:14" x14ac:dyDescent="0.3">
      <c r="A117" t="s">
        <v>157</v>
      </c>
      <c r="B117" s="1">
        <v>45768</v>
      </c>
      <c r="C117" t="s">
        <v>19</v>
      </c>
      <c r="D117" t="s">
        <v>27</v>
      </c>
      <c r="E117" t="s">
        <v>64</v>
      </c>
      <c r="F117" t="s">
        <v>24</v>
      </c>
      <c r="G117">
        <v>37</v>
      </c>
      <c r="H117">
        <v>2467</v>
      </c>
      <c r="I117">
        <v>91279</v>
      </c>
      <c r="J117">
        <v>11</v>
      </c>
      <c r="K117">
        <v>3</v>
      </c>
      <c r="L117" t="s">
        <v>22</v>
      </c>
      <c r="M117" t="str">
        <f t="shared" si="2"/>
        <v>Reorder</v>
      </c>
      <c r="N117">
        <f t="shared" si="3"/>
        <v>18255.8</v>
      </c>
    </row>
    <row r="118" spans="1:14" x14ac:dyDescent="0.3">
      <c r="A118" t="s">
        <v>158</v>
      </c>
      <c r="B118" s="1">
        <v>46012</v>
      </c>
      <c r="C118" t="s">
        <v>19</v>
      </c>
      <c r="D118" t="s">
        <v>27</v>
      </c>
      <c r="E118" t="s">
        <v>28</v>
      </c>
      <c r="F118" t="s">
        <v>16</v>
      </c>
      <c r="G118">
        <v>32</v>
      </c>
      <c r="H118">
        <v>1014</v>
      </c>
      <c r="I118">
        <v>32448</v>
      </c>
      <c r="J118">
        <v>199</v>
      </c>
      <c r="K118">
        <v>8</v>
      </c>
      <c r="L118" t="s">
        <v>17</v>
      </c>
      <c r="M118" t="str">
        <f t="shared" si="2"/>
        <v>Available</v>
      </c>
      <c r="N118">
        <f t="shared" si="3"/>
        <v>6489.6</v>
      </c>
    </row>
    <row r="119" spans="1:14" x14ac:dyDescent="0.3">
      <c r="A119" t="s">
        <v>159</v>
      </c>
      <c r="B119" s="1">
        <v>45941</v>
      </c>
      <c r="C119" t="s">
        <v>13</v>
      </c>
      <c r="D119" t="s">
        <v>14</v>
      </c>
      <c r="E119" t="s">
        <v>20</v>
      </c>
      <c r="F119" t="s">
        <v>16</v>
      </c>
      <c r="G119">
        <v>38</v>
      </c>
      <c r="H119">
        <v>2583</v>
      </c>
      <c r="I119">
        <v>98154</v>
      </c>
      <c r="J119">
        <v>139</v>
      </c>
      <c r="K119">
        <v>8</v>
      </c>
      <c r="L119" t="s">
        <v>17</v>
      </c>
      <c r="M119" t="str">
        <f t="shared" si="2"/>
        <v>Available</v>
      </c>
      <c r="N119">
        <f t="shared" si="3"/>
        <v>19630.8</v>
      </c>
    </row>
    <row r="120" spans="1:14" x14ac:dyDescent="0.3">
      <c r="A120" t="s">
        <v>160</v>
      </c>
      <c r="B120" s="1">
        <v>45680</v>
      </c>
      <c r="C120" t="s">
        <v>13</v>
      </c>
      <c r="D120" t="s">
        <v>27</v>
      </c>
      <c r="E120" t="s">
        <v>28</v>
      </c>
      <c r="F120" t="s">
        <v>21</v>
      </c>
      <c r="G120">
        <v>4</v>
      </c>
      <c r="H120">
        <v>4640</v>
      </c>
      <c r="I120">
        <v>18560</v>
      </c>
      <c r="J120">
        <v>128</v>
      </c>
      <c r="K120">
        <v>8</v>
      </c>
      <c r="L120" t="s">
        <v>17</v>
      </c>
      <c r="M120" t="str">
        <f t="shared" si="2"/>
        <v>Available</v>
      </c>
      <c r="N120">
        <f t="shared" si="3"/>
        <v>3712</v>
      </c>
    </row>
    <row r="121" spans="1:14" x14ac:dyDescent="0.3">
      <c r="A121" t="s">
        <v>161</v>
      </c>
      <c r="B121" s="1">
        <v>45822</v>
      </c>
      <c r="C121" t="s">
        <v>19</v>
      </c>
      <c r="D121" t="s">
        <v>31</v>
      </c>
      <c r="E121" t="s">
        <v>45</v>
      </c>
      <c r="F121" t="s">
        <v>21</v>
      </c>
      <c r="G121">
        <v>50</v>
      </c>
      <c r="H121">
        <v>1220</v>
      </c>
      <c r="I121">
        <v>61000</v>
      </c>
      <c r="J121">
        <v>54</v>
      </c>
      <c r="K121">
        <v>4</v>
      </c>
      <c r="L121" t="s">
        <v>22</v>
      </c>
      <c r="M121" t="str">
        <f t="shared" si="2"/>
        <v>Available</v>
      </c>
      <c r="N121">
        <f t="shared" si="3"/>
        <v>12200</v>
      </c>
    </row>
    <row r="122" spans="1:14" x14ac:dyDescent="0.3">
      <c r="A122" t="s">
        <v>162</v>
      </c>
      <c r="B122" s="1">
        <v>45887</v>
      </c>
      <c r="C122" t="s">
        <v>19</v>
      </c>
      <c r="D122" t="s">
        <v>31</v>
      </c>
      <c r="E122" t="s">
        <v>45</v>
      </c>
      <c r="F122" t="s">
        <v>21</v>
      </c>
      <c r="G122">
        <v>6</v>
      </c>
      <c r="H122">
        <v>804</v>
      </c>
      <c r="I122">
        <v>4824</v>
      </c>
      <c r="J122">
        <v>30</v>
      </c>
      <c r="K122">
        <v>2</v>
      </c>
      <c r="L122" t="s">
        <v>22</v>
      </c>
      <c r="M122" t="str">
        <f t="shared" si="2"/>
        <v>Reorder</v>
      </c>
      <c r="N122">
        <f t="shared" si="3"/>
        <v>964.80000000000007</v>
      </c>
    </row>
    <row r="123" spans="1:14" x14ac:dyDescent="0.3">
      <c r="A123" t="s">
        <v>163</v>
      </c>
      <c r="B123" s="1">
        <v>45952</v>
      </c>
      <c r="C123" t="s">
        <v>13</v>
      </c>
      <c r="D123" t="s">
        <v>14</v>
      </c>
      <c r="E123" t="s">
        <v>20</v>
      </c>
      <c r="F123" t="s">
        <v>16</v>
      </c>
      <c r="G123">
        <v>4</v>
      </c>
      <c r="H123">
        <v>1831</v>
      </c>
      <c r="I123">
        <v>7324</v>
      </c>
      <c r="J123">
        <v>276</v>
      </c>
      <c r="K123">
        <v>2</v>
      </c>
      <c r="L123" t="s">
        <v>22</v>
      </c>
      <c r="M123" t="str">
        <f t="shared" si="2"/>
        <v>Available</v>
      </c>
      <c r="N123">
        <f t="shared" si="3"/>
        <v>1464.8000000000002</v>
      </c>
    </row>
    <row r="124" spans="1:14" x14ac:dyDescent="0.3">
      <c r="A124" t="s">
        <v>164</v>
      </c>
      <c r="B124" s="1">
        <v>45975</v>
      </c>
      <c r="C124" t="s">
        <v>13</v>
      </c>
      <c r="D124" t="s">
        <v>27</v>
      </c>
      <c r="E124" t="s">
        <v>34</v>
      </c>
      <c r="F124" t="s">
        <v>16</v>
      </c>
      <c r="G124">
        <v>22</v>
      </c>
      <c r="H124">
        <v>2825</v>
      </c>
      <c r="I124">
        <v>62150</v>
      </c>
      <c r="J124">
        <v>253</v>
      </c>
      <c r="K124">
        <v>7</v>
      </c>
      <c r="L124" t="s">
        <v>17</v>
      </c>
      <c r="M124" t="str">
        <f t="shared" si="2"/>
        <v>Available</v>
      </c>
      <c r="N124">
        <f t="shared" si="3"/>
        <v>12430</v>
      </c>
    </row>
    <row r="125" spans="1:14" x14ac:dyDescent="0.3">
      <c r="A125" t="s">
        <v>165</v>
      </c>
      <c r="B125" s="1">
        <v>45775</v>
      </c>
      <c r="C125" t="s">
        <v>38</v>
      </c>
      <c r="D125" t="s">
        <v>51</v>
      </c>
      <c r="E125" t="s">
        <v>66</v>
      </c>
      <c r="F125" t="s">
        <v>16</v>
      </c>
      <c r="G125">
        <v>46</v>
      </c>
      <c r="H125">
        <v>1768</v>
      </c>
      <c r="I125">
        <v>81328</v>
      </c>
      <c r="J125">
        <v>256</v>
      </c>
      <c r="K125">
        <v>5</v>
      </c>
      <c r="L125" t="s">
        <v>22</v>
      </c>
      <c r="M125" t="str">
        <f t="shared" si="2"/>
        <v>Available</v>
      </c>
      <c r="N125">
        <f t="shared" si="3"/>
        <v>16265.6</v>
      </c>
    </row>
    <row r="126" spans="1:14" x14ac:dyDescent="0.3">
      <c r="A126" t="s">
        <v>166</v>
      </c>
      <c r="B126" s="1">
        <v>45700</v>
      </c>
      <c r="C126" t="s">
        <v>13</v>
      </c>
      <c r="D126" t="s">
        <v>31</v>
      </c>
      <c r="E126" t="s">
        <v>45</v>
      </c>
      <c r="F126" t="s">
        <v>16</v>
      </c>
      <c r="G126">
        <v>13</v>
      </c>
      <c r="H126">
        <v>3145</v>
      </c>
      <c r="I126">
        <v>40885</v>
      </c>
      <c r="J126">
        <v>80</v>
      </c>
      <c r="K126">
        <v>5</v>
      </c>
      <c r="L126" t="s">
        <v>22</v>
      </c>
      <c r="M126" t="str">
        <f t="shared" si="2"/>
        <v>Available</v>
      </c>
      <c r="N126">
        <f t="shared" si="3"/>
        <v>8177</v>
      </c>
    </row>
    <row r="127" spans="1:14" x14ac:dyDescent="0.3">
      <c r="A127" t="s">
        <v>167</v>
      </c>
      <c r="B127" s="1">
        <v>46002</v>
      </c>
      <c r="C127" t="s">
        <v>26</v>
      </c>
      <c r="D127" t="s">
        <v>27</v>
      </c>
      <c r="E127" t="s">
        <v>34</v>
      </c>
      <c r="F127" t="s">
        <v>24</v>
      </c>
      <c r="G127">
        <v>13</v>
      </c>
      <c r="H127">
        <v>3355</v>
      </c>
      <c r="I127">
        <v>43615</v>
      </c>
      <c r="J127">
        <v>166</v>
      </c>
      <c r="K127">
        <v>9</v>
      </c>
      <c r="L127" t="s">
        <v>17</v>
      </c>
      <c r="M127" t="str">
        <f t="shared" si="2"/>
        <v>Available</v>
      </c>
      <c r="N127">
        <f t="shared" si="3"/>
        <v>8723</v>
      </c>
    </row>
    <row r="128" spans="1:14" x14ac:dyDescent="0.3">
      <c r="A128" t="s">
        <v>168</v>
      </c>
      <c r="B128" s="1">
        <v>45925</v>
      </c>
      <c r="C128" t="s">
        <v>13</v>
      </c>
      <c r="D128" t="s">
        <v>31</v>
      </c>
      <c r="E128" t="s">
        <v>32</v>
      </c>
      <c r="F128" t="s">
        <v>21</v>
      </c>
      <c r="G128">
        <v>23</v>
      </c>
      <c r="H128">
        <v>3877</v>
      </c>
      <c r="I128">
        <v>89171</v>
      </c>
      <c r="J128">
        <v>29</v>
      </c>
      <c r="K128">
        <v>3</v>
      </c>
      <c r="L128" t="s">
        <v>22</v>
      </c>
      <c r="M128" t="str">
        <f t="shared" si="2"/>
        <v>Reorder</v>
      </c>
      <c r="N128">
        <f t="shared" si="3"/>
        <v>17834.2</v>
      </c>
    </row>
    <row r="129" spans="1:14" x14ac:dyDescent="0.3">
      <c r="A129" t="s">
        <v>169</v>
      </c>
      <c r="B129" s="1">
        <v>45663</v>
      </c>
      <c r="C129" t="s">
        <v>38</v>
      </c>
      <c r="D129" t="s">
        <v>27</v>
      </c>
      <c r="E129" t="s">
        <v>28</v>
      </c>
      <c r="F129" t="s">
        <v>29</v>
      </c>
      <c r="G129">
        <v>17</v>
      </c>
      <c r="H129">
        <v>4493</v>
      </c>
      <c r="I129">
        <v>76381</v>
      </c>
      <c r="J129">
        <v>213</v>
      </c>
      <c r="K129">
        <v>7</v>
      </c>
      <c r="L129" t="s">
        <v>17</v>
      </c>
      <c r="M129" t="str">
        <f t="shared" si="2"/>
        <v>Available</v>
      </c>
      <c r="N129">
        <f t="shared" si="3"/>
        <v>15276.2</v>
      </c>
    </row>
    <row r="130" spans="1:14" x14ac:dyDescent="0.3">
      <c r="A130" t="s">
        <v>170</v>
      </c>
      <c r="B130" s="1">
        <v>45742</v>
      </c>
      <c r="C130" t="s">
        <v>13</v>
      </c>
      <c r="D130" t="s">
        <v>27</v>
      </c>
      <c r="E130" t="s">
        <v>64</v>
      </c>
      <c r="F130" t="s">
        <v>16</v>
      </c>
      <c r="G130">
        <v>30</v>
      </c>
      <c r="H130">
        <v>1883</v>
      </c>
      <c r="I130">
        <v>56490</v>
      </c>
      <c r="J130">
        <v>250</v>
      </c>
      <c r="K130">
        <v>5</v>
      </c>
      <c r="L130" t="s">
        <v>22</v>
      </c>
      <c r="M130" t="str">
        <f t="shared" si="2"/>
        <v>Available</v>
      </c>
      <c r="N130">
        <f t="shared" si="3"/>
        <v>11298</v>
      </c>
    </row>
    <row r="131" spans="1:14" x14ac:dyDescent="0.3">
      <c r="A131" t="s">
        <v>171</v>
      </c>
      <c r="B131" s="1">
        <v>45714</v>
      </c>
      <c r="C131" t="s">
        <v>38</v>
      </c>
      <c r="D131" t="s">
        <v>14</v>
      </c>
      <c r="E131" t="s">
        <v>42</v>
      </c>
      <c r="F131" t="s">
        <v>24</v>
      </c>
      <c r="G131">
        <v>40</v>
      </c>
      <c r="H131">
        <v>4718</v>
      </c>
      <c r="I131">
        <v>188720</v>
      </c>
      <c r="J131">
        <v>74</v>
      </c>
      <c r="K131">
        <v>3</v>
      </c>
      <c r="L131" t="s">
        <v>22</v>
      </c>
      <c r="M131" t="str">
        <f t="shared" ref="M131:M194" si="4">IF(J131&lt;50,"Reorder","Available")</f>
        <v>Available</v>
      </c>
      <c r="N131">
        <f t="shared" ref="N131:N194" si="5">I131*20%</f>
        <v>37744</v>
      </c>
    </row>
    <row r="132" spans="1:14" x14ac:dyDescent="0.3">
      <c r="A132" t="s">
        <v>172</v>
      </c>
      <c r="B132" s="1">
        <v>46015</v>
      </c>
      <c r="C132" t="s">
        <v>13</v>
      </c>
      <c r="D132" t="s">
        <v>14</v>
      </c>
      <c r="E132" t="s">
        <v>20</v>
      </c>
      <c r="F132" t="s">
        <v>16</v>
      </c>
      <c r="G132">
        <v>41</v>
      </c>
      <c r="H132">
        <v>2406</v>
      </c>
      <c r="I132">
        <v>98646</v>
      </c>
      <c r="J132">
        <v>94</v>
      </c>
      <c r="K132">
        <v>8</v>
      </c>
      <c r="L132" t="s">
        <v>17</v>
      </c>
      <c r="M132" t="str">
        <f t="shared" si="4"/>
        <v>Available</v>
      </c>
      <c r="N132">
        <f t="shared" si="5"/>
        <v>19729.2</v>
      </c>
    </row>
    <row r="133" spans="1:14" x14ac:dyDescent="0.3">
      <c r="A133" t="s">
        <v>173</v>
      </c>
      <c r="B133" s="1">
        <v>45696</v>
      </c>
      <c r="C133" t="s">
        <v>26</v>
      </c>
      <c r="D133" t="s">
        <v>31</v>
      </c>
      <c r="E133" t="s">
        <v>76</v>
      </c>
      <c r="F133" t="s">
        <v>21</v>
      </c>
      <c r="G133">
        <v>11</v>
      </c>
      <c r="H133">
        <v>4479</v>
      </c>
      <c r="I133">
        <v>49269</v>
      </c>
      <c r="J133">
        <v>276</v>
      </c>
      <c r="K133">
        <v>4</v>
      </c>
      <c r="L133" t="s">
        <v>22</v>
      </c>
      <c r="M133" t="str">
        <f t="shared" si="4"/>
        <v>Available</v>
      </c>
      <c r="N133">
        <f t="shared" si="5"/>
        <v>9853.8000000000011</v>
      </c>
    </row>
    <row r="134" spans="1:14" x14ac:dyDescent="0.3">
      <c r="A134" t="s">
        <v>174</v>
      </c>
      <c r="B134" s="1">
        <v>45834</v>
      </c>
      <c r="C134" t="s">
        <v>19</v>
      </c>
      <c r="D134" t="s">
        <v>51</v>
      </c>
      <c r="E134" t="s">
        <v>52</v>
      </c>
      <c r="F134" t="s">
        <v>16</v>
      </c>
      <c r="G134">
        <v>1</v>
      </c>
      <c r="H134">
        <v>4110</v>
      </c>
      <c r="I134">
        <v>4110</v>
      </c>
      <c r="J134">
        <v>265</v>
      </c>
      <c r="K134">
        <v>10</v>
      </c>
      <c r="L134" t="s">
        <v>17</v>
      </c>
      <c r="M134" t="str">
        <f t="shared" si="4"/>
        <v>Available</v>
      </c>
      <c r="N134">
        <f t="shared" si="5"/>
        <v>822</v>
      </c>
    </row>
    <row r="135" spans="1:14" x14ac:dyDescent="0.3">
      <c r="A135" t="s">
        <v>175</v>
      </c>
      <c r="B135" s="1">
        <v>45844</v>
      </c>
      <c r="C135" t="s">
        <v>19</v>
      </c>
      <c r="D135" t="s">
        <v>27</v>
      </c>
      <c r="E135" t="s">
        <v>28</v>
      </c>
      <c r="F135" t="s">
        <v>21</v>
      </c>
      <c r="G135">
        <v>15</v>
      </c>
      <c r="H135">
        <v>4051</v>
      </c>
      <c r="I135">
        <v>60765</v>
      </c>
      <c r="J135">
        <v>171</v>
      </c>
      <c r="K135">
        <v>2</v>
      </c>
      <c r="L135" t="s">
        <v>22</v>
      </c>
      <c r="M135" t="str">
        <f t="shared" si="4"/>
        <v>Available</v>
      </c>
      <c r="N135">
        <f t="shared" si="5"/>
        <v>12153</v>
      </c>
    </row>
    <row r="136" spans="1:14" x14ac:dyDescent="0.3">
      <c r="A136" t="s">
        <v>176</v>
      </c>
      <c r="B136" s="1">
        <v>45876</v>
      </c>
      <c r="C136" t="s">
        <v>26</v>
      </c>
      <c r="D136" t="s">
        <v>14</v>
      </c>
      <c r="E136" t="s">
        <v>58</v>
      </c>
      <c r="F136" t="s">
        <v>21</v>
      </c>
      <c r="G136">
        <v>25</v>
      </c>
      <c r="H136">
        <v>2831</v>
      </c>
      <c r="I136">
        <v>70775</v>
      </c>
      <c r="J136">
        <v>117</v>
      </c>
      <c r="K136">
        <v>3</v>
      </c>
      <c r="L136" t="s">
        <v>22</v>
      </c>
      <c r="M136" t="str">
        <f t="shared" si="4"/>
        <v>Available</v>
      </c>
      <c r="N136">
        <f t="shared" si="5"/>
        <v>14155</v>
      </c>
    </row>
    <row r="137" spans="1:14" x14ac:dyDescent="0.3">
      <c r="A137" t="s">
        <v>177</v>
      </c>
      <c r="B137" s="1">
        <v>45875</v>
      </c>
      <c r="C137" t="s">
        <v>13</v>
      </c>
      <c r="D137" t="s">
        <v>27</v>
      </c>
      <c r="E137" t="s">
        <v>34</v>
      </c>
      <c r="F137" t="s">
        <v>24</v>
      </c>
      <c r="G137">
        <v>18</v>
      </c>
      <c r="H137">
        <v>3877</v>
      </c>
      <c r="I137">
        <v>69786</v>
      </c>
      <c r="J137">
        <v>158</v>
      </c>
      <c r="K137">
        <v>8</v>
      </c>
      <c r="L137" t="s">
        <v>17</v>
      </c>
      <c r="M137" t="str">
        <f t="shared" si="4"/>
        <v>Available</v>
      </c>
      <c r="N137">
        <f t="shared" si="5"/>
        <v>13957.2</v>
      </c>
    </row>
    <row r="138" spans="1:14" x14ac:dyDescent="0.3">
      <c r="A138" t="s">
        <v>178</v>
      </c>
      <c r="B138" s="1">
        <v>45995</v>
      </c>
      <c r="C138" t="s">
        <v>38</v>
      </c>
      <c r="D138" t="s">
        <v>14</v>
      </c>
      <c r="E138" t="s">
        <v>58</v>
      </c>
      <c r="F138" t="s">
        <v>21</v>
      </c>
      <c r="G138">
        <v>17</v>
      </c>
      <c r="H138">
        <v>4119</v>
      </c>
      <c r="I138">
        <v>70023</v>
      </c>
      <c r="J138">
        <v>144</v>
      </c>
      <c r="K138">
        <v>2</v>
      </c>
      <c r="L138" t="s">
        <v>22</v>
      </c>
      <c r="M138" t="str">
        <f t="shared" si="4"/>
        <v>Available</v>
      </c>
      <c r="N138">
        <f t="shared" si="5"/>
        <v>14004.6</v>
      </c>
    </row>
    <row r="139" spans="1:14" x14ac:dyDescent="0.3">
      <c r="A139" t="s">
        <v>179</v>
      </c>
      <c r="B139" s="1">
        <v>45698</v>
      </c>
      <c r="C139" t="s">
        <v>19</v>
      </c>
      <c r="D139" t="s">
        <v>27</v>
      </c>
      <c r="E139" t="s">
        <v>64</v>
      </c>
      <c r="F139" t="s">
        <v>16</v>
      </c>
      <c r="G139">
        <v>38</v>
      </c>
      <c r="H139">
        <v>2150</v>
      </c>
      <c r="I139">
        <v>81700</v>
      </c>
      <c r="J139">
        <v>131</v>
      </c>
      <c r="K139">
        <v>7</v>
      </c>
      <c r="L139" t="s">
        <v>17</v>
      </c>
      <c r="M139" t="str">
        <f t="shared" si="4"/>
        <v>Available</v>
      </c>
      <c r="N139">
        <f t="shared" si="5"/>
        <v>16340</v>
      </c>
    </row>
    <row r="140" spans="1:14" x14ac:dyDescent="0.3">
      <c r="A140" t="s">
        <v>180</v>
      </c>
      <c r="B140" s="1">
        <v>45849</v>
      </c>
      <c r="C140" t="s">
        <v>26</v>
      </c>
      <c r="D140" t="s">
        <v>51</v>
      </c>
      <c r="E140" t="s">
        <v>90</v>
      </c>
      <c r="F140" t="s">
        <v>24</v>
      </c>
      <c r="G140">
        <v>47</v>
      </c>
      <c r="H140">
        <v>3033</v>
      </c>
      <c r="I140">
        <v>142551</v>
      </c>
      <c r="J140">
        <v>168</v>
      </c>
      <c r="K140">
        <v>8</v>
      </c>
      <c r="L140" t="s">
        <v>17</v>
      </c>
      <c r="M140" t="str">
        <f t="shared" si="4"/>
        <v>Available</v>
      </c>
      <c r="N140">
        <f t="shared" si="5"/>
        <v>28510.2</v>
      </c>
    </row>
    <row r="141" spans="1:14" x14ac:dyDescent="0.3">
      <c r="A141" t="s">
        <v>181</v>
      </c>
      <c r="B141" s="1">
        <v>46017</v>
      </c>
      <c r="C141" t="s">
        <v>19</v>
      </c>
      <c r="D141" t="s">
        <v>14</v>
      </c>
      <c r="E141" t="s">
        <v>20</v>
      </c>
      <c r="F141" t="s">
        <v>29</v>
      </c>
      <c r="G141">
        <v>21</v>
      </c>
      <c r="H141">
        <v>2412</v>
      </c>
      <c r="I141">
        <v>50652</v>
      </c>
      <c r="J141">
        <v>124</v>
      </c>
      <c r="K141">
        <v>6</v>
      </c>
      <c r="L141" t="s">
        <v>17</v>
      </c>
      <c r="M141" t="str">
        <f t="shared" si="4"/>
        <v>Available</v>
      </c>
      <c r="N141">
        <f t="shared" si="5"/>
        <v>10130.400000000001</v>
      </c>
    </row>
    <row r="142" spans="1:14" x14ac:dyDescent="0.3">
      <c r="A142" t="s">
        <v>182</v>
      </c>
      <c r="B142" s="1">
        <v>45730</v>
      </c>
      <c r="C142" t="s">
        <v>13</v>
      </c>
      <c r="D142" t="s">
        <v>31</v>
      </c>
      <c r="E142" t="s">
        <v>40</v>
      </c>
      <c r="F142" t="s">
        <v>16</v>
      </c>
      <c r="G142">
        <v>40</v>
      </c>
      <c r="H142">
        <v>1468</v>
      </c>
      <c r="I142">
        <v>58720</v>
      </c>
      <c r="J142">
        <v>55</v>
      </c>
      <c r="K142">
        <v>4</v>
      </c>
      <c r="L142" t="s">
        <v>22</v>
      </c>
      <c r="M142" t="str">
        <f t="shared" si="4"/>
        <v>Available</v>
      </c>
      <c r="N142">
        <f t="shared" si="5"/>
        <v>11744</v>
      </c>
    </row>
    <row r="143" spans="1:14" x14ac:dyDescent="0.3">
      <c r="A143" t="s">
        <v>183</v>
      </c>
      <c r="B143" s="1">
        <v>45751</v>
      </c>
      <c r="C143" t="s">
        <v>13</v>
      </c>
      <c r="D143" t="s">
        <v>27</v>
      </c>
      <c r="E143" t="s">
        <v>83</v>
      </c>
      <c r="F143" t="s">
        <v>16</v>
      </c>
      <c r="G143">
        <v>45</v>
      </c>
      <c r="H143">
        <v>4685</v>
      </c>
      <c r="I143">
        <v>210825</v>
      </c>
      <c r="J143">
        <v>74</v>
      </c>
      <c r="K143">
        <v>4</v>
      </c>
      <c r="L143" t="s">
        <v>22</v>
      </c>
      <c r="M143" t="str">
        <f t="shared" si="4"/>
        <v>Available</v>
      </c>
      <c r="N143">
        <f t="shared" si="5"/>
        <v>42165</v>
      </c>
    </row>
    <row r="144" spans="1:14" x14ac:dyDescent="0.3">
      <c r="A144" t="s">
        <v>184</v>
      </c>
      <c r="B144" s="1">
        <v>45941</v>
      </c>
      <c r="C144" t="s">
        <v>19</v>
      </c>
      <c r="D144" t="s">
        <v>27</v>
      </c>
      <c r="E144" t="s">
        <v>34</v>
      </c>
      <c r="F144" t="s">
        <v>24</v>
      </c>
      <c r="G144">
        <v>39</v>
      </c>
      <c r="H144">
        <v>1889</v>
      </c>
      <c r="I144">
        <v>73671</v>
      </c>
      <c r="J144">
        <v>252</v>
      </c>
      <c r="K144">
        <v>3</v>
      </c>
      <c r="L144" t="s">
        <v>22</v>
      </c>
      <c r="M144" t="str">
        <f t="shared" si="4"/>
        <v>Available</v>
      </c>
      <c r="N144">
        <f t="shared" si="5"/>
        <v>14734.2</v>
      </c>
    </row>
    <row r="145" spans="1:14" x14ac:dyDescent="0.3">
      <c r="A145" t="s">
        <v>185</v>
      </c>
      <c r="B145" s="1">
        <v>45917</v>
      </c>
      <c r="C145" t="s">
        <v>19</v>
      </c>
      <c r="D145" t="s">
        <v>31</v>
      </c>
      <c r="E145" t="s">
        <v>40</v>
      </c>
      <c r="F145" t="s">
        <v>16</v>
      </c>
      <c r="G145">
        <v>24</v>
      </c>
      <c r="H145">
        <v>1134</v>
      </c>
      <c r="I145">
        <v>27216</v>
      </c>
      <c r="J145">
        <v>71</v>
      </c>
      <c r="K145">
        <v>3</v>
      </c>
      <c r="L145" t="s">
        <v>22</v>
      </c>
      <c r="M145" t="str">
        <f t="shared" si="4"/>
        <v>Available</v>
      </c>
      <c r="N145">
        <f t="shared" si="5"/>
        <v>5443.2000000000007</v>
      </c>
    </row>
    <row r="146" spans="1:14" x14ac:dyDescent="0.3">
      <c r="A146" t="s">
        <v>186</v>
      </c>
      <c r="B146" s="1">
        <v>45857</v>
      </c>
      <c r="C146" t="s">
        <v>38</v>
      </c>
      <c r="D146" t="s">
        <v>31</v>
      </c>
      <c r="E146" t="s">
        <v>76</v>
      </c>
      <c r="F146" t="s">
        <v>16</v>
      </c>
      <c r="G146">
        <v>29</v>
      </c>
      <c r="H146">
        <v>3948</v>
      </c>
      <c r="I146">
        <v>114492</v>
      </c>
      <c r="J146">
        <v>275</v>
      </c>
      <c r="K146">
        <v>8</v>
      </c>
      <c r="L146" t="s">
        <v>17</v>
      </c>
      <c r="M146" t="str">
        <f t="shared" si="4"/>
        <v>Available</v>
      </c>
      <c r="N146">
        <f t="shared" si="5"/>
        <v>22898.400000000001</v>
      </c>
    </row>
    <row r="147" spans="1:14" x14ac:dyDescent="0.3">
      <c r="A147" t="s">
        <v>187</v>
      </c>
      <c r="B147" s="1">
        <v>45897</v>
      </c>
      <c r="C147" t="s">
        <v>19</v>
      </c>
      <c r="D147" t="s">
        <v>14</v>
      </c>
      <c r="E147" t="s">
        <v>15</v>
      </c>
      <c r="F147" t="s">
        <v>21</v>
      </c>
      <c r="G147">
        <v>39</v>
      </c>
      <c r="H147">
        <v>1774</v>
      </c>
      <c r="I147">
        <v>69186</v>
      </c>
      <c r="J147">
        <v>216</v>
      </c>
      <c r="K147">
        <v>3</v>
      </c>
      <c r="L147" t="s">
        <v>22</v>
      </c>
      <c r="M147" t="str">
        <f t="shared" si="4"/>
        <v>Available</v>
      </c>
      <c r="N147">
        <f t="shared" si="5"/>
        <v>13837.2</v>
      </c>
    </row>
    <row r="148" spans="1:14" x14ac:dyDescent="0.3">
      <c r="A148" t="s">
        <v>188</v>
      </c>
      <c r="B148" s="1">
        <v>45858</v>
      </c>
      <c r="C148" t="s">
        <v>13</v>
      </c>
      <c r="D148" t="s">
        <v>51</v>
      </c>
      <c r="E148" t="s">
        <v>90</v>
      </c>
      <c r="F148" t="s">
        <v>21</v>
      </c>
      <c r="G148">
        <v>4</v>
      </c>
      <c r="H148">
        <v>4851</v>
      </c>
      <c r="I148">
        <v>19404</v>
      </c>
      <c r="J148">
        <v>174</v>
      </c>
      <c r="K148">
        <v>5</v>
      </c>
      <c r="L148" t="s">
        <v>22</v>
      </c>
      <c r="M148" t="str">
        <f t="shared" si="4"/>
        <v>Available</v>
      </c>
      <c r="N148">
        <f t="shared" si="5"/>
        <v>3880.8</v>
      </c>
    </row>
    <row r="149" spans="1:14" x14ac:dyDescent="0.3">
      <c r="A149" t="s">
        <v>189</v>
      </c>
      <c r="B149" s="1">
        <v>45956</v>
      </c>
      <c r="C149" t="s">
        <v>26</v>
      </c>
      <c r="D149" t="s">
        <v>14</v>
      </c>
      <c r="E149" t="s">
        <v>20</v>
      </c>
      <c r="F149" t="s">
        <v>24</v>
      </c>
      <c r="G149">
        <v>1</v>
      </c>
      <c r="H149">
        <v>3020</v>
      </c>
      <c r="I149">
        <v>3020</v>
      </c>
      <c r="J149">
        <v>103</v>
      </c>
      <c r="K149">
        <v>3</v>
      </c>
      <c r="L149" t="s">
        <v>22</v>
      </c>
      <c r="M149" t="str">
        <f t="shared" si="4"/>
        <v>Available</v>
      </c>
      <c r="N149">
        <f t="shared" si="5"/>
        <v>604</v>
      </c>
    </row>
    <row r="150" spans="1:14" x14ac:dyDescent="0.3">
      <c r="A150" t="s">
        <v>190</v>
      </c>
      <c r="B150" s="1">
        <v>45741</v>
      </c>
      <c r="C150" t="s">
        <v>13</v>
      </c>
      <c r="D150" t="s">
        <v>27</v>
      </c>
      <c r="E150" t="s">
        <v>83</v>
      </c>
      <c r="F150" t="s">
        <v>16</v>
      </c>
      <c r="G150">
        <v>37</v>
      </c>
      <c r="H150">
        <v>2769</v>
      </c>
      <c r="I150">
        <v>102453</v>
      </c>
      <c r="J150">
        <v>202</v>
      </c>
      <c r="K150">
        <v>9</v>
      </c>
      <c r="L150" t="s">
        <v>17</v>
      </c>
      <c r="M150" t="str">
        <f t="shared" si="4"/>
        <v>Available</v>
      </c>
      <c r="N150">
        <f t="shared" si="5"/>
        <v>20490.600000000002</v>
      </c>
    </row>
    <row r="151" spans="1:14" x14ac:dyDescent="0.3">
      <c r="A151" t="s">
        <v>191</v>
      </c>
      <c r="B151" s="1">
        <v>45754</v>
      </c>
      <c r="C151" t="s">
        <v>26</v>
      </c>
      <c r="D151" t="s">
        <v>14</v>
      </c>
      <c r="E151" t="s">
        <v>20</v>
      </c>
      <c r="F151" t="s">
        <v>16</v>
      </c>
      <c r="G151">
        <v>16</v>
      </c>
      <c r="H151">
        <v>4032</v>
      </c>
      <c r="I151">
        <v>64512</v>
      </c>
      <c r="J151">
        <v>113</v>
      </c>
      <c r="K151">
        <v>2</v>
      </c>
      <c r="L151" t="s">
        <v>22</v>
      </c>
      <c r="M151" t="str">
        <f t="shared" si="4"/>
        <v>Available</v>
      </c>
      <c r="N151">
        <f t="shared" si="5"/>
        <v>12902.400000000001</v>
      </c>
    </row>
    <row r="152" spans="1:14" x14ac:dyDescent="0.3">
      <c r="A152" t="s">
        <v>192</v>
      </c>
      <c r="B152" s="1">
        <v>45726</v>
      </c>
      <c r="C152" t="s">
        <v>26</v>
      </c>
      <c r="D152" t="s">
        <v>51</v>
      </c>
      <c r="E152" t="s">
        <v>90</v>
      </c>
      <c r="F152" t="s">
        <v>24</v>
      </c>
      <c r="G152">
        <v>16</v>
      </c>
      <c r="H152">
        <v>4025</v>
      </c>
      <c r="I152">
        <v>64400</v>
      </c>
      <c r="J152">
        <v>172</v>
      </c>
      <c r="K152">
        <v>8</v>
      </c>
      <c r="L152" t="s">
        <v>17</v>
      </c>
      <c r="M152" t="str">
        <f t="shared" si="4"/>
        <v>Available</v>
      </c>
      <c r="N152">
        <f t="shared" si="5"/>
        <v>12880</v>
      </c>
    </row>
    <row r="153" spans="1:14" x14ac:dyDescent="0.3">
      <c r="A153" t="s">
        <v>193</v>
      </c>
      <c r="B153" s="1">
        <v>45818</v>
      </c>
      <c r="C153" t="s">
        <v>38</v>
      </c>
      <c r="D153" t="s">
        <v>27</v>
      </c>
      <c r="E153" t="s">
        <v>64</v>
      </c>
      <c r="F153" t="s">
        <v>29</v>
      </c>
      <c r="G153">
        <v>16</v>
      </c>
      <c r="H153">
        <v>1365</v>
      </c>
      <c r="I153">
        <v>21840</v>
      </c>
      <c r="J153">
        <v>228</v>
      </c>
      <c r="K153">
        <v>8</v>
      </c>
      <c r="L153" t="s">
        <v>17</v>
      </c>
      <c r="M153" t="str">
        <f t="shared" si="4"/>
        <v>Available</v>
      </c>
      <c r="N153">
        <f t="shared" si="5"/>
        <v>4368</v>
      </c>
    </row>
    <row r="154" spans="1:14" x14ac:dyDescent="0.3">
      <c r="A154" t="s">
        <v>194</v>
      </c>
      <c r="B154" s="1">
        <v>45987</v>
      </c>
      <c r="C154" t="s">
        <v>26</v>
      </c>
      <c r="D154" t="s">
        <v>51</v>
      </c>
      <c r="E154" t="s">
        <v>90</v>
      </c>
      <c r="F154" t="s">
        <v>21</v>
      </c>
      <c r="G154">
        <v>15</v>
      </c>
      <c r="H154">
        <v>929</v>
      </c>
      <c r="I154">
        <v>13935</v>
      </c>
      <c r="J154">
        <v>28</v>
      </c>
      <c r="K154">
        <v>2</v>
      </c>
      <c r="L154" t="s">
        <v>22</v>
      </c>
      <c r="M154" t="str">
        <f t="shared" si="4"/>
        <v>Reorder</v>
      </c>
      <c r="N154">
        <f t="shared" si="5"/>
        <v>2787</v>
      </c>
    </row>
    <row r="155" spans="1:14" x14ac:dyDescent="0.3">
      <c r="A155" t="s">
        <v>195</v>
      </c>
      <c r="B155" s="1">
        <v>45939</v>
      </c>
      <c r="C155" t="s">
        <v>19</v>
      </c>
      <c r="D155" t="s">
        <v>51</v>
      </c>
      <c r="E155" t="s">
        <v>56</v>
      </c>
      <c r="F155" t="s">
        <v>29</v>
      </c>
      <c r="G155">
        <v>42</v>
      </c>
      <c r="H155">
        <v>3918</v>
      </c>
      <c r="I155">
        <v>164556</v>
      </c>
      <c r="J155">
        <v>248</v>
      </c>
      <c r="K155">
        <v>7</v>
      </c>
      <c r="L155" t="s">
        <v>17</v>
      </c>
      <c r="M155" t="str">
        <f t="shared" si="4"/>
        <v>Available</v>
      </c>
      <c r="N155">
        <f t="shared" si="5"/>
        <v>32911.200000000004</v>
      </c>
    </row>
    <row r="156" spans="1:14" x14ac:dyDescent="0.3">
      <c r="A156" t="s">
        <v>196</v>
      </c>
      <c r="B156" s="1">
        <v>45891</v>
      </c>
      <c r="C156" t="s">
        <v>26</v>
      </c>
      <c r="D156" t="s">
        <v>27</v>
      </c>
      <c r="E156" t="s">
        <v>34</v>
      </c>
      <c r="F156" t="s">
        <v>24</v>
      </c>
      <c r="G156">
        <v>4</v>
      </c>
      <c r="H156">
        <v>1957</v>
      </c>
      <c r="I156">
        <v>7828</v>
      </c>
      <c r="J156">
        <v>290</v>
      </c>
      <c r="K156">
        <v>4</v>
      </c>
      <c r="L156" t="s">
        <v>22</v>
      </c>
      <c r="M156" t="str">
        <f t="shared" si="4"/>
        <v>Available</v>
      </c>
      <c r="N156">
        <f t="shared" si="5"/>
        <v>1565.6000000000001</v>
      </c>
    </row>
    <row r="157" spans="1:14" x14ac:dyDescent="0.3">
      <c r="A157" t="s">
        <v>197</v>
      </c>
      <c r="B157" s="1">
        <v>46014</v>
      </c>
      <c r="C157" t="s">
        <v>19</v>
      </c>
      <c r="D157" t="s">
        <v>14</v>
      </c>
      <c r="E157" t="s">
        <v>15</v>
      </c>
      <c r="F157" t="s">
        <v>24</v>
      </c>
      <c r="G157">
        <v>19</v>
      </c>
      <c r="H157">
        <v>1908</v>
      </c>
      <c r="I157">
        <v>36252</v>
      </c>
      <c r="J157">
        <v>220</v>
      </c>
      <c r="K157">
        <v>2</v>
      </c>
      <c r="L157" t="s">
        <v>22</v>
      </c>
      <c r="M157" t="str">
        <f t="shared" si="4"/>
        <v>Available</v>
      </c>
      <c r="N157">
        <f t="shared" si="5"/>
        <v>7250.4000000000005</v>
      </c>
    </row>
    <row r="158" spans="1:14" x14ac:dyDescent="0.3">
      <c r="A158" t="s">
        <v>198</v>
      </c>
      <c r="B158" s="1">
        <v>45952</v>
      </c>
      <c r="C158" t="s">
        <v>26</v>
      </c>
      <c r="D158" t="s">
        <v>31</v>
      </c>
      <c r="E158" t="s">
        <v>32</v>
      </c>
      <c r="F158" t="s">
        <v>16</v>
      </c>
      <c r="G158">
        <v>46</v>
      </c>
      <c r="H158">
        <v>1156</v>
      </c>
      <c r="I158">
        <v>53176</v>
      </c>
      <c r="J158">
        <v>32</v>
      </c>
      <c r="K158">
        <v>9</v>
      </c>
      <c r="L158" t="s">
        <v>17</v>
      </c>
      <c r="M158" t="str">
        <f t="shared" si="4"/>
        <v>Reorder</v>
      </c>
      <c r="N158">
        <f t="shared" si="5"/>
        <v>10635.2</v>
      </c>
    </row>
    <row r="159" spans="1:14" x14ac:dyDescent="0.3">
      <c r="A159" t="s">
        <v>199</v>
      </c>
      <c r="B159" s="1">
        <v>45979</v>
      </c>
      <c r="C159" t="s">
        <v>19</v>
      </c>
      <c r="D159" t="s">
        <v>51</v>
      </c>
      <c r="E159" t="s">
        <v>52</v>
      </c>
      <c r="F159" t="s">
        <v>24</v>
      </c>
      <c r="G159">
        <v>9</v>
      </c>
      <c r="H159">
        <v>4890</v>
      </c>
      <c r="I159">
        <v>44010</v>
      </c>
      <c r="J159">
        <v>81</v>
      </c>
      <c r="K159">
        <v>6</v>
      </c>
      <c r="L159" t="s">
        <v>17</v>
      </c>
      <c r="M159" t="str">
        <f t="shared" si="4"/>
        <v>Available</v>
      </c>
      <c r="N159">
        <f t="shared" si="5"/>
        <v>8802</v>
      </c>
    </row>
    <row r="160" spans="1:14" x14ac:dyDescent="0.3">
      <c r="A160" t="s">
        <v>200</v>
      </c>
      <c r="B160" s="1">
        <v>45911</v>
      </c>
      <c r="C160" t="s">
        <v>26</v>
      </c>
      <c r="D160" t="s">
        <v>14</v>
      </c>
      <c r="E160" t="s">
        <v>58</v>
      </c>
      <c r="F160" t="s">
        <v>16</v>
      </c>
      <c r="G160">
        <v>4</v>
      </c>
      <c r="H160">
        <v>3351</v>
      </c>
      <c r="I160">
        <v>13404</v>
      </c>
      <c r="J160">
        <v>220</v>
      </c>
      <c r="K160">
        <v>7</v>
      </c>
      <c r="L160" t="s">
        <v>17</v>
      </c>
      <c r="M160" t="str">
        <f t="shared" si="4"/>
        <v>Available</v>
      </c>
      <c r="N160">
        <f t="shared" si="5"/>
        <v>2680.8</v>
      </c>
    </row>
    <row r="161" spans="1:14" x14ac:dyDescent="0.3">
      <c r="A161" t="s">
        <v>201</v>
      </c>
      <c r="B161" s="1">
        <v>45834</v>
      </c>
      <c r="C161" t="s">
        <v>13</v>
      </c>
      <c r="D161" t="s">
        <v>51</v>
      </c>
      <c r="E161" t="s">
        <v>56</v>
      </c>
      <c r="F161" t="s">
        <v>29</v>
      </c>
      <c r="G161">
        <v>25</v>
      </c>
      <c r="H161">
        <v>821</v>
      </c>
      <c r="I161">
        <v>20525</v>
      </c>
      <c r="J161">
        <v>81</v>
      </c>
      <c r="K161">
        <v>4</v>
      </c>
      <c r="L161" t="s">
        <v>22</v>
      </c>
      <c r="M161" t="str">
        <f t="shared" si="4"/>
        <v>Available</v>
      </c>
      <c r="N161">
        <f t="shared" si="5"/>
        <v>4105</v>
      </c>
    </row>
    <row r="162" spans="1:14" x14ac:dyDescent="0.3">
      <c r="A162" t="s">
        <v>202</v>
      </c>
      <c r="B162" s="1">
        <v>45764</v>
      </c>
      <c r="C162" t="s">
        <v>19</v>
      </c>
      <c r="D162" t="s">
        <v>27</v>
      </c>
      <c r="E162" t="s">
        <v>34</v>
      </c>
      <c r="F162" t="s">
        <v>24</v>
      </c>
      <c r="G162">
        <v>37</v>
      </c>
      <c r="H162">
        <v>2878</v>
      </c>
      <c r="I162">
        <v>106486</v>
      </c>
      <c r="J162">
        <v>129</v>
      </c>
      <c r="K162">
        <v>6</v>
      </c>
      <c r="L162" t="s">
        <v>17</v>
      </c>
      <c r="M162" t="str">
        <f t="shared" si="4"/>
        <v>Available</v>
      </c>
      <c r="N162">
        <f t="shared" si="5"/>
        <v>21297.200000000001</v>
      </c>
    </row>
    <row r="163" spans="1:14" x14ac:dyDescent="0.3">
      <c r="A163" t="s">
        <v>203</v>
      </c>
      <c r="B163" s="1">
        <v>45826</v>
      </c>
      <c r="C163" t="s">
        <v>26</v>
      </c>
      <c r="D163" t="s">
        <v>51</v>
      </c>
      <c r="E163" t="s">
        <v>90</v>
      </c>
      <c r="F163" t="s">
        <v>29</v>
      </c>
      <c r="G163">
        <v>34</v>
      </c>
      <c r="H163">
        <v>2615</v>
      </c>
      <c r="I163">
        <v>88910</v>
      </c>
      <c r="J163">
        <v>233</v>
      </c>
      <c r="K163">
        <v>6</v>
      </c>
      <c r="L163" t="s">
        <v>17</v>
      </c>
      <c r="M163" t="str">
        <f t="shared" si="4"/>
        <v>Available</v>
      </c>
      <c r="N163">
        <f t="shared" si="5"/>
        <v>17782</v>
      </c>
    </row>
    <row r="164" spans="1:14" x14ac:dyDescent="0.3">
      <c r="A164" t="s">
        <v>204</v>
      </c>
      <c r="B164" s="1">
        <v>45944</v>
      </c>
      <c r="C164" t="s">
        <v>19</v>
      </c>
      <c r="D164" t="s">
        <v>14</v>
      </c>
      <c r="E164" t="s">
        <v>58</v>
      </c>
      <c r="F164" t="s">
        <v>16</v>
      </c>
      <c r="G164">
        <v>33</v>
      </c>
      <c r="H164">
        <v>829</v>
      </c>
      <c r="I164">
        <v>27357</v>
      </c>
      <c r="J164">
        <v>168</v>
      </c>
      <c r="K164">
        <v>5</v>
      </c>
      <c r="L164" t="s">
        <v>22</v>
      </c>
      <c r="M164" t="str">
        <f t="shared" si="4"/>
        <v>Available</v>
      </c>
      <c r="N164">
        <f t="shared" si="5"/>
        <v>5471.4000000000005</v>
      </c>
    </row>
    <row r="165" spans="1:14" x14ac:dyDescent="0.3">
      <c r="A165" t="s">
        <v>205</v>
      </c>
      <c r="B165" s="1">
        <v>45698</v>
      </c>
      <c r="C165" t="s">
        <v>13</v>
      </c>
      <c r="D165" t="s">
        <v>27</v>
      </c>
      <c r="E165" t="s">
        <v>83</v>
      </c>
      <c r="F165" t="s">
        <v>16</v>
      </c>
      <c r="G165">
        <v>18</v>
      </c>
      <c r="H165">
        <v>1152</v>
      </c>
      <c r="I165">
        <v>20736</v>
      </c>
      <c r="J165">
        <v>163</v>
      </c>
      <c r="K165">
        <v>4</v>
      </c>
      <c r="L165" t="s">
        <v>22</v>
      </c>
      <c r="M165" t="str">
        <f t="shared" si="4"/>
        <v>Available</v>
      </c>
      <c r="N165">
        <f t="shared" si="5"/>
        <v>4147.2</v>
      </c>
    </row>
    <row r="166" spans="1:14" x14ac:dyDescent="0.3">
      <c r="A166" t="s">
        <v>206</v>
      </c>
      <c r="B166" s="1">
        <v>45679</v>
      </c>
      <c r="C166" t="s">
        <v>13</v>
      </c>
      <c r="D166" t="s">
        <v>14</v>
      </c>
      <c r="E166" t="s">
        <v>42</v>
      </c>
      <c r="F166" t="s">
        <v>24</v>
      </c>
      <c r="G166">
        <v>39</v>
      </c>
      <c r="H166">
        <v>2231</v>
      </c>
      <c r="I166">
        <v>87009</v>
      </c>
      <c r="J166">
        <v>125</v>
      </c>
      <c r="K166">
        <v>4</v>
      </c>
      <c r="L166" t="s">
        <v>22</v>
      </c>
      <c r="M166" t="str">
        <f t="shared" si="4"/>
        <v>Available</v>
      </c>
      <c r="N166">
        <f t="shared" si="5"/>
        <v>17401.8</v>
      </c>
    </row>
    <row r="167" spans="1:14" x14ac:dyDescent="0.3">
      <c r="A167" t="s">
        <v>207</v>
      </c>
      <c r="B167" s="1">
        <v>45916</v>
      </c>
      <c r="C167" t="s">
        <v>38</v>
      </c>
      <c r="D167" t="s">
        <v>51</v>
      </c>
      <c r="E167" t="s">
        <v>52</v>
      </c>
      <c r="F167" t="s">
        <v>16</v>
      </c>
      <c r="G167">
        <v>44</v>
      </c>
      <c r="H167">
        <v>4716</v>
      </c>
      <c r="I167">
        <v>207504</v>
      </c>
      <c r="J167">
        <v>25</v>
      </c>
      <c r="K167">
        <v>2</v>
      </c>
      <c r="L167" t="s">
        <v>22</v>
      </c>
      <c r="M167" t="str">
        <f t="shared" si="4"/>
        <v>Reorder</v>
      </c>
      <c r="N167">
        <f t="shared" si="5"/>
        <v>41500.800000000003</v>
      </c>
    </row>
    <row r="168" spans="1:14" x14ac:dyDescent="0.3">
      <c r="A168" t="s">
        <v>208</v>
      </c>
      <c r="B168" s="1">
        <v>45858</v>
      </c>
      <c r="C168" t="s">
        <v>26</v>
      </c>
      <c r="D168" t="s">
        <v>51</v>
      </c>
      <c r="E168" t="s">
        <v>56</v>
      </c>
      <c r="F168" t="s">
        <v>29</v>
      </c>
      <c r="G168">
        <v>48</v>
      </c>
      <c r="H168">
        <v>1699</v>
      </c>
      <c r="I168">
        <v>81552</v>
      </c>
      <c r="J168">
        <v>293</v>
      </c>
      <c r="K168">
        <v>5</v>
      </c>
      <c r="L168" t="s">
        <v>22</v>
      </c>
      <c r="M168" t="str">
        <f t="shared" si="4"/>
        <v>Available</v>
      </c>
      <c r="N168">
        <f t="shared" si="5"/>
        <v>16310.400000000001</v>
      </c>
    </row>
    <row r="169" spans="1:14" x14ac:dyDescent="0.3">
      <c r="A169" t="s">
        <v>209</v>
      </c>
      <c r="B169" s="1">
        <v>45692</v>
      </c>
      <c r="C169" t="s">
        <v>13</v>
      </c>
      <c r="D169" t="s">
        <v>51</v>
      </c>
      <c r="E169" t="s">
        <v>52</v>
      </c>
      <c r="F169" t="s">
        <v>24</v>
      </c>
      <c r="G169">
        <v>14</v>
      </c>
      <c r="H169">
        <v>828</v>
      </c>
      <c r="I169">
        <v>11592</v>
      </c>
      <c r="J169">
        <v>208</v>
      </c>
      <c r="K169">
        <v>6</v>
      </c>
      <c r="L169" t="s">
        <v>17</v>
      </c>
      <c r="M169" t="str">
        <f t="shared" si="4"/>
        <v>Available</v>
      </c>
      <c r="N169">
        <f t="shared" si="5"/>
        <v>2318.4</v>
      </c>
    </row>
    <row r="170" spans="1:14" x14ac:dyDescent="0.3">
      <c r="A170" t="s">
        <v>210</v>
      </c>
      <c r="B170" s="1">
        <v>45678</v>
      </c>
      <c r="C170" t="s">
        <v>19</v>
      </c>
      <c r="D170" t="s">
        <v>51</v>
      </c>
      <c r="E170" t="s">
        <v>52</v>
      </c>
      <c r="F170" t="s">
        <v>24</v>
      </c>
      <c r="G170">
        <v>46</v>
      </c>
      <c r="H170">
        <v>567</v>
      </c>
      <c r="I170">
        <v>26082</v>
      </c>
      <c r="J170">
        <v>159</v>
      </c>
      <c r="K170">
        <v>10</v>
      </c>
      <c r="L170" t="s">
        <v>17</v>
      </c>
      <c r="M170" t="str">
        <f t="shared" si="4"/>
        <v>Available</v>
      </c>
      <c r="N170">
        <f t="shared" si="5"/>
        <v>5216.4000000000005</v>
      </c>
    </row>
    <row r="171" spans="1:14" x14ac:dyDescent="0.3">
      <c r="A171" t="s">
        <v>211</v>
      </c>
      <c r="B171" s="1">
        <v>45906</v>
      </c>
      <c r="C171" t="s">
        <v>38</v>
      </c>
      <c r="D171" t="s">
        <v>14</v>
      </c>
      <c r="E171" t="s">
        <v>58</v>
      </c>
      <c r="F171" t="s">
        <v>29</v>
      </c>
      <c r="G171">
        <v>34</v>
      </c>
      <c r="H171">
        <v>4979</v>
      </c>
      <c r="I171">
        <v>169286</v>
      </c>
      <c r="J171">
        <v>93</v>
      </c>
      <c r="K171">
        <v>4</v>
      </c>
      <c r="L171" t="s">
        <v>22</v>
      </c>
      <c r="M171" t="str">
        <f t="shared" si="4"/>
        <v>Available</v>
      </c>
      <c r="N171">
        <f t="shared" si="5"/>
        <v>33857.200000000004</v>
      </c>
    </row>
    <row r="172" spans="1:14" x14ac:dyDescent="0.3">
      <c r="A172" t="s">
        <v>212</v>
      </c>
      <c r="B172" s="1">
        <v>46005</v>
      </c>
      <c r="C172" t="s">
        <v>38</v>
      </c>
      <c r="D172" t="s">
        <v>27</v>
      </c>
      <c r="E172" t="s">
        <v>64</v>
      </c>
      <c r="F172" t="s">
        <v>29</v>
      </c>
      <c r="G172">
        <v>27</v>
      </c>
      <c r="H172">
        <v>4402</v>
      </c>
      <c r="I172">
        <v>118854</v>
      </c>
      <c r="J172">
        <v>250</v>
      </c>
      <c r="K172">
        <v>10</v>
      </c>
      <c r="L172" t="s">
        <v>17</v>
      </c>
      <c r="M172" t="str">
        <f t="shared" si="4"/>
        <v>Available</v>
      </c>
      <c r="N172">
        <f t="shared" si="5"/>
        <v>23770.800000000003</v>
      </c>
    </row>
    <row r="173" spans="1:14" x14ac:dyDescent="0.3">
      <c r="A173" t="s">
        <v>213</v>
      </c>
      <c r="B173" s="1">
        <v>45932</v>
      </c>
      <c r="C173" t="s">
        <v>26</v>
      </c>
      <c r="D173" t="s">
        <v>51</v>
      </c>
      <c r="E173" t="s">
        <v>90</v>
      </c>
      <c r="F173" t="s">
        <v>16</v>
      </c>
      <c r="G173">
        <v>23</v>
      </c>
      <c r="H173">
        <v>2417</v>
      </c>
      <c r="I173">
        <v>55591</v>
      </c>
      <c r="J173">
        <v>81</v>
      </c>
      <c r="K173">
        <v>7</v>
      </c>
      <c r="L173" t="s">
        <v>17</v>
      </c>
      <c r="M173" t="str">
        <f t="shared" si="4"/>
        <v>Available</v>
      </c>
      <c r="N173">
        <f t="shared" si="5"/>
        <v>11118.2</v>
      </c>
    </row>
    <row r="174" spans="1:14" x14ac:dyDescent="0.3">
      <c r="A174" t="s">
        <v>214</v>
      </c>
      <c r="B174" s="1">
        <v>45928</v>
      </c>
      <c r="C174" t="s">
        <v>13</v>
      </c>
      <c r="D174" t="s">
        <v>31</v>
      </c>
      <c r="E174" t="s">
        <v>45</v>
      </c>
      <c r="F174" t="s">
        <v>16</v>
      </c>
      <c r="G174">
        <v>5</v>
      </c>
      <c r="H174">
        <v>2163</v>
      </c>
      <c r="I174">
        <v>10815</v>
      </c>
      <c r="J174">
        <v>25</v>
      </c>
      <c r="K174">
        <v>8</v>
      </c>
      <c r="L174" t="s">
        <v>17</v>
      </c>
      <c r="M174" t="str">
        <f t="shared" si="4"/>
        <v>Reorder</v>
      </c>
      <c r="N174">
        <f t="shared" si="5"/>
        <v>2163</v>
      </c>
    </row>
    <row r="175" spans="1:14" x14ac:dyDescent="0.3">
      <c r="A175" t="s">
        <v>215</v>
      </c>
      <c r="B175" s="1">
        <v>45747</v>
      </c>
      <c r="C175" t="s">
        <v>38</v>
      </c>
      <c r="D175" t="s">
        <v>27</v>
      </c>
      <c r="E175" t="s">
        <v>83</v>
      </c>
      <c r="F175" t="s">
        <v>29</v>
      </c>
      <c r="G175">
        <v>21</v>
      </c>
      <c r="H175">
        <v>2725</v>
      </c>
      <c r="I175">
        <v>57225</v>
      </c>
      <c r="J175">
        <v>237</v>
      </c>
      <c r="K175">
        <v>7</v>
      </c>
      <c r="L175" t="s">
        <v>17</v>
      </c>
      <c r="M175" t="str">
        <f t="shared" si="4"/>
        <v>Available</v>
      </c>
      <c r="N175">
        <f t="shared" si="5"/>
        <v>11445</v>
      </c>
    </row>
    <row r="176" spans="1:14" x14ac:dyDescent="0.3">
      <c r="A176" t="s">
        <v>216</v>
      </c>
      <c r="B176" s="1">
        <v>45825</v>
      </c>
      <c r="C176" t="s">
        <v>38</v>
      </c>
      <c r="D176" t="s">
        <v>14</v>
      </c>
      <c r="E176" t="s">
        <v>15</v>
      </c>
      <c r="F176" t="s">
        <v>16</v>
      </c>
      <c r="G176">
        <v>25</v>
      </c>
      <c r="H176">
        <v>3617</v>
      </c>
      <c r="I176">
        <v>90425</v>
      </c>
      <c r="J176">
        <v>75</v>
      </c>
      <c r="K176">
        <v>10</v>
      </c>
      <c r="L176" t="s">
        <v>17</v>
      </c>
      <c r="M176" t="str">
        <f t="shared" si="4"/>
        <v>Available</v>
      </c>
      <c r="N176">
        <f t="shared" si="5"/>
        <v>18085</v>
      </c>
    </row>
    <row r="177" spans="1:14" x14ac:dyDescent="0.3">
      <c r="A177" t="s">
        <v>217</v>
      </c>
      <c r="B177" s="1">
        <v>45880</v>
      </c>
      <c r="C177" t="s">
        <v>19</v>
      </c>
      <c r="D177" t="s">
        <v>27</v>
      </c>
      <c r="E177" t="s">
        <v>34</v>
      </c>
      <c r="F177" t="s">
        <v>21</v>
      </c>
      <c r="G177">
        <v>6</v>
      </c>
      <c r="H177">
        <v>1095</v>
      </c>
      <c r="I177">
        <v>6570</v>
      </c>
      <c r="J177">
        <v>136</v>
      </c>
      <c r="K177">
        <v>10</v>
      </c>
      <c r="L177" t="s">
        <v>17</v>
      </c>
      <c r="M177" t="str">
        <f t="shared" si="4"/>
        <v>Available</v>
      </c>
      <c r="N177">
        <f t="shared" si="5"/>
        <v>1314</v>
      </c>
    </row>
    <row r="178" spans="1:14" x14ac:dyDescent="0.3">
      <c r="A178" t="s">
        <v>218</v>
      </c>
      <c r="B178" s="1">
        <v>45693</v>
      </c>
      <c r="C178" t="s">
        <v>19</v>
      </c>
      <c r="D178" t="s">
        <v>31</v>
      </c>
      <c r="E178" t="s">
        <v>76</v>
      </c>
      <c r="F178" t="s">
        <v>21</v>
      </c>
      <c r="G178">
        <v>20</v>
      </c>
      <c r="H178">
        <v>961</v>
      </c>
      <c r="I178">
        <v>19220</v>
      </c>
      <c r="J178">
        <v>165</v>
      </c>
      <c r="K178">
        <v>8</v>
      </c>
      <c r="L178" t="s">
        <v>17</v>
      </c>
      <c r="M178" t="str">
        <f t="shared" si="4"/>
        <v>Available</v>
      </c>
      <c r="N178">
        <f t="shared" si="5"/>
        <v>3844</v>
      </c>
    </row>
    <row r="179" spans="1:14" x14ac:dyDescent="0.3">
      <c r="A179" t="s">
        <v>219</v>
      </c>
      <c r="B179" s="1">
        <v>45979</v>
      </c>
      <c r="C179" t="s">
        <v>38</v>
      </c>
      <c r="D179" t="s">
        <v>14</v>
      </c>
      <c r="E179" t="s">
        <v>58</v>
      </c>
      <c r="F179" t="s">
        <v>24</v>
      </c>
      <c r="G179">
        <v>42</v>
      </c>
      <c r="H179">
        <v>4720</v>
      </c>
      <c r="I179">
        <v>198240</v>
      </c>
      <c r="J179">
        <v>293</v>
      </c>
      <c r="K179">
        <v>9</v>
      </c>
      <c r="L179" t="s">
        <v>17</v>
      </c>
      <c r="M179" t="str">
        <f t="shared" si="4"/>
        <v>Available</v>
      </c>
      <c r="N179">
        <f t="shared" si="5"/>
        <v>39648</v>
      </c>
    </row>
    <row r="180" spans="1:14" x14ac:dyDescent="0.3">
      <c r="A180" t="s">
        <v>220</v>
      </c>
      <c r="B180" s="1">
        <v>45975</v>
      </c>
      <c r="C180" t="s">
        <v>26</v>
      </c>
      <c r="D180" t="s">
        <v>51</v>
      </c>
      <c r="E180" t="s">
        <v>90</v>
      </c>
      <c r="F180" t="s">
        <v>16</v>
      </c>
      <c r="G180">
        <v>35</v>
      </c>
      <c r="H180">
        <v>3787</v>
      </c>
      <c r="I180">
        <v>132545</v>
      </c>
      <c r="J180">
        <v>37</v>
      </c>
      <c r="K180">
        <v>3</v>
      </c>
      <c r="L180" t="s">
        <v>22</v>
      </c>
      <c r="M180" t="str">
        <f t="shared" si="4"/>
        <v>Reorder</v>
      </c>
      <c r="N180">
        <f t="shared" si="5"/>
        <v>26509</v>
      </c>
    </row>
    <row r="181" spans="1:14" x14ac:dyDescent="0.3">
      <c r="A181" t="s">
        <v>221</v>
      </c>
      <c r="B181" s="1">
        <v>45807</v>
      </c>
      <c r="C181" t="s">
        <v>38</v>
      </c>
      <c r="D181" t="s">
        <v>14</v>
      </c>
      <c r="E181" t="s">
        <v>58</v>
      </c>
      <c r="F181" t="s">
        <v>29</v>
      </c>
      <c r="G181">
        <v>49</v>
      </c>
      <c r="H181">
        <v>3253</v>
      </c>
      <c r="I181">
        <v>159397</v>
      </c>
      <c r="J181">
        <v>115</v>
      </c>
      <c r="K181">
        <v>8</v>
      </c>
      <c r="L181" t="s">
        <v>17</v>
      </c>
      <c r="M181" t="str">
        <f t="shared" si="4"/>
        <v>Available</v>
      </c>
      <c r="N181">
        <f t="shared" si="5"/>
        <v>31879.4</v>
      </c>
    </row>
    <row r="182" spans="1:14" x14ac:dyDescent="0.3">
      <c r="A182" t="s">
        <v>222</v>
      </c>
      <c r="B182" s="1">
        <v>45931</v>
      </c>
      <c r="C182" t="s">
        <v>26</v>
      </c>
      <c r="D182" t="s">
        <v>27</v>
      </c>
      <c r="E182" t="s">
        <v>64</v>
      </c>
      <c r="F182" t="s">
        <v>24</v>
      </c>
      <c r="G182">
        <v>30</v>
      </c>
      <c r="H182">
        <v>1105</v>
      </c>
      <c r="I182">
        <v>33150</v>
      </c>
      <c r="J182">
        <v>124</v>
      </c>
      <c r="K182">
        <v>8</v>
      </c>
      <c r="L182" t="s">
        <v>17</v>
      </c>
      <c r="M182" t="str">
        <f t="shared" si="4"/>
        <v>Available</v>
      </c>
      <c r="N182">
        <f t="shared" si="5"/>
        <v>6630</v>
      </c>
    </row>
    <row r="183" spans="1:14" x14ac:dyDescent="0.3">
      <c r="A183" t="s">
        <v>223</v>
      </c>
      <c r="B183" s="1">
        <v>46002</v>
      </c>
      <c r="C183" t="s">
        <v>26</v>
      </c>
      <c r="D183" t="s">
        <v>31</v>
      </c>
      <c r="E183" t="s">
        <v>45</v>
      </c>
      <c r="F183" t="s">
        <v>16</v>
      </c>
      <c r="G183">
        <v>42</v>
      </c>
      <c r="H183">
        <v>1484</v>
      </c>
      <c r="I183">
        <v>62328</v>
      </c>
      <c r="J183">
        <v>32</v>
      </c>
      <c r="K183">
        <v>7</v>
      </c>
      <c r="L183" t="s">
        <v>17</v>
      </c>
      <c r="M183" t="str">
        <f t="shared" si="4"/>
        <v>Reorder</v>
      </c>
      <c r="N183">
        <f t="shared" si="5"/>
        <v>12465.6</v>
      </c>
    </row>
    <row r="184" spans="1:14" x14ac:dyDescent="0.3">
      <c r="A184" t="s">
        <v>224</v>
      </c>
      <c r="B184" s="1">
        <v>45727</v>
      </c>
      <c r="C184" t="s">
        <v>19</v>
      </c>
      <c r="D184" t="s">
        <v>51</v>
      </c>
      <c r="E184" t="s">
        <v>56</v>
      </c>
      <c r="F184" t="s">
        <v>16</v>
      </c>
      <c r="G184">
        <v>41</v>
      </c>
      <c r="H184">
        <v>979</v>
      </c>
      <c r="I184">
        <v>40139</v>
      </c>
      <c r="J184">
        <v>280</v>
      </c>
      <c r="K184">
        <v>6</v>
      </c>
      <c r="L184" t="s">
        <v>17</v>
      </c>
      <c r="M184" t="str">
        <f t="shared" si="4"/>
        <v>Available</v>
      </c>
      <c r="N184">
        <f t="shared" si="5"/>
        <v>8027.8</v>
      </c>
    </row>
    <row r="185" spans="1:14" x14ac:dyDescent="0.3">
      <c r="A185" t="s">
        <v>225</v>
      </c>
      <c r="B185" s="1">
        <v>45699</v>
      </c>
      <c r="C185" t="s">
        <v>13</v>
      </c>
      <c r="D185" t="s">
        <v>27</v>
      </c>
      <c r="E185" t="s">
        <v>83</v>
      </c>
      <c r="F185" t="s">
        <v>29</v>
      </c>
      <c r="G185">
        <v>46</v>
      </c>
      <c r="H185">
        <v>4483</v>
      </c>
      <c r="I185">
        <v>206218</v>
      </c>
      <c r="J185">
        <v>125</v>
      </c>
      <c r="K185">
        <v>9</v>
      </c>
      <c r="L185" t="s">
        <v>17</v>
      </c>
      <c r="M185" t="str">
        <f t="shared" si="4"/>
        <v>Available</v>
      </c>
      <c r="N185">
        <f t="shared" si="5"/>
        <v>41243.600000000006</v>
      </c>
    </row>
    <row r="186" spans="1:14" x14ac:dyDescent="0.3">
      <c r="A186" t="s">
        <v>226</v>
      </c>
      <c r="B186" s="1">
        <v>45780</v>
      </c>
      <c r="C186" t="s">
        <v>19</v>
      </c>
      <c r="D186" t="s">
        <v>31</v>
      </c>
      <c r="E186" t="s">
        <v>32</v>
      </c>
      <c r="F186" t="s">
        <v>24</v>
      </c>
      <c r="G186">
        <v>1</v>
      </c>
      <c r="H186">
        <v>4429</v>
      </c>
      <c r="I186">
        <v>4429</v>
      </c>
      <c r="J186">
        <v>235</v>
      </c>
      <c r="K186">
        <v>10</v>
      </c>
      <c r="L186" t="s">
        <v>17</v>
      </c>
      <c r="M186" t="str">
        <f t="shared" si="4"/>
        <v>Available</v>
      </c>
      <c r="N186">
        <f t="shared" si="5"/>
        <v>885.80000000000007</v>
      </c>
    </row>
    <row r="187" spans="1:14" x14ac:dyDescent="0.3">
      <c r="A187" t="s">
        <v>227</v>
      </c>
      <c r="B187" s="1">
        <v>45849</v>
      </c>
      <c r="C187" t="s">
        <v>26</v>
      </c>
      <c r="D187" t="s">
        <v>31</v>
      </c>
      <c r="E187" t="s">
        <v>76</v>
      </c>
      <c r="F187" t="s">
        <v>24</v>
      </c>
      <c r="G187">
        <v>6</v>
      </c>
      <c r="H187">
        <v>2346</v>
      </c>
      <c r="I187">
        <v>14076</v>
      </c>
      <c r="J187">
        <v>271</v>
      </c>
      <c r="K187">
        <v>9</v>
      </c>
      <c r="L187" t="s">
        <v>17</v>
      </c>
      <c r="M187" t="str">
        <f t="shared" si="4"/>
        <v>Available</v>
      </c>
      <c r="N187">
        <f t="shared" si="5"/>
        <v>2815.2000000000003</v>
      </c>
    </row>
    <row r="188" spans="1:14" x14ac:dyDescent="0.3">
      <c r="A188" t="s">
        <v>228</v>
      </c>
      <c r="B188" s="1">
        <v>45859</v>
      </c>
      <c r="C188" t="s">
        <v>38</v>
      </c>
      <c r="D188" t="s">
        <v>27</v>
      </c>
      <c r="E188" t="s">
        <v>28</v>
      </c>
      <c r="F188" t="s">
        <v>21</v>
      </c>
      <c r="G188">
        <v>6</v>
      </c>
      <c r="H188">
        <v>2426</v>
      </c>
      <c r="I188">
        <v>14556</v>
      </c>
      <c r="J188">
        <v>128</v>
      </c>
      <c r="K188">
        <v>6</v>
      </c>
      <c r="L188" t="s">
        <v>17</v>
      </c>
      <c r="M188" t="str">
        <f t="shared" si="4"/>
        <v>Available</v>
      </c>
      <c r="N188">
        <f t="shared" si="5"/>
        <v>2911.2000000000003</v>
      </c>
    </row>
    <row r="189" spans="1:14" x14ac:dyDescent="0.3">
      <c r="A189" t="s">
        <v>229</v>
      </c>
      <c r="B189" s="1">
        <v>45883</v>
      </c>
      <c r="C189" t="s">
        <v>13</v>
      </c>
      <c r="D189" t="s">
        <v>14</v>
      </c>
      <c r="E189" t="s">
        <v>58</v>
      </c>
      <c r="F189" t="s">
        <v>16</v>
      </c>
      <c r="G189">
        <v>44</v>
      </c>
      <c r="H189">
        <v>1400</v>
      </c>
      <c r="I189">
        <v>61600</v>
      </c>
      <c r="J189">
        <v>130</v>
      </c>
      <c r="K189">
        <v>8</v>
      </c>
      <c r="L189" t="s">
        <v>17</v>
      </c>
      <c r="M189" t="str">
        <f t="shared" si="4"/>
        <v>Available</v>
      </c>
      <c r="N189">
        <f t="shared" si="5"/>
        <v>12320</v>
      </c>
    </row>
    <row r="190" spans="1:14" x14ac:dyDescent="0.3">
      <c r="A190" t="s">
        <v>230</v>
      </c>
      <c r="B190" s="1">
        <v>45888</v>
      </c>
      <c r="C190" t="s">
        <v>26</v>
      </c>
      <c r="D190" t="s">
        <v>51</v>
      </c>
      <c r="E190" t="s">
        <v>52</v>
      </c>
      <c r="F190" t="s">
        <v>29</v>
      </c>
      <c r="G190">
        <v>16</v>
      </c>
      <c r="H190">
        <v>2845</v>
      </c>
      <c r="I190">
        <v>45520</v>
      </c>
      <c r="J190">
        <v>138</v>
      </c>
      <c r="K190">
        <v>6</v>
      </c>
      <c r="L190" t="s">
        <v>17</v>
      </c>
      <c r="M190" t="str">
        <f t="shared" si="4"/>
        <v>Available</v>
      </c>
      <c r="N190">
        <f t="shared" si="5"/>
        <v>9104</v>
      </c>
    </row>
    <row r="191" spans="1:14" x14ac:dyDescent="0.3">
      <c r="A191" t="s">
        <v>231</v>
      </c>
      <c r="B191" s="1">
        <v>45868</v>
      </c>
      <c r="C191" t="s">
        <v>13</v>
      </c>
      <c r="D191" t="s">
        <v>51</v>
      </c>
      <c r="E191" t="s">
        <v>90</v>
      </c>
      <c r="F191" t="s">
        <v>24</v>
      </c>
      <c r="G191">
        <v>17</v>
      </c>
      <c r="H191">
        <v>1258</v>
      </c>
      <c r="I191">
        <v>21386</v>
      </c>
      <c r="J191">
        <v>71</v>
      </c>
      <c r="K191">
        <v>5</v>
      </c>
      <c r="L191" t="s">
        <v>22</v>
      </c>
      <c r="M191" t="str">
        <f t="shared" si="4"/>
        <v>Available</v>
      </c>
      <c r="N191">
        <f t="shared" si="5"/>
        <v>4277.2</v>
      </c>
    </row>
    <row r="192" spans="1:14" x14ac:dyDescent="0.3">
      <c r="A192" t="s">
        <v>232</v>
      </c>
      <c r="B192" s="1">
        <v>45779</v>
      </c>
      <c r="C192" t="s">
        <v>26</v>
      </c>
      <c r="D192" t="s">
        <v>27</v>
      </c>
      <c r="E192" t="s">
        <v>64</v>
      </c>
      <c r="F192" t="s">
        <v>16</v>
      </c>
      <c r="G192">
        <v>36</v>
      </c>
      <c r="H192">
        <v>3142</v>
      </c>
      <c r="I192">
        <v>113112</v>
      </c>
      <c r="J192">
        <v>70</v>
      </c>
      <c r="K192">
        <v>7</v>
      </c>
      <c r="L192" t="s">
        <v>17</v>
      </c>
      <c r="M192" t="str">
        <f t="shared" si="4"/>
        <v>Available</v>
      </c>
      <c r="N192">
        <f t="shared" si="5"/>
        <v>22622.400000000001</v>
      </c>
    </row>
    <row r="193" spans="1:14" x14ac:dyDescent="0.3">
      <c r="A193" t="s">
        <v>233</v>
      </c>
      <c r="B193" s="1">
        <v>45808</v>
      </c>
      <c r="C193" t="s">
        <v>19</v>
      </c>
      <c r="D193" t="s">
        <v>27</v>
      </c>
      <c r="E193" t="s">
        <v>64</v>
      </c>
      <c r="F193" t="s">
        <v>29</v>
      </c>
      <c r="G193">
        <v>22</v>
      </c>
      <c r="H193">
        <v>2034</v>
      </c>
      <c r="I193">
        <v>44748</v>
      </c>
      <c r="J193">
        <v>14</v>
      </c>
      <c r="K193">
        <v>4</v>
      </c>
      <c r="L193" t="s">
        <v>22</v>
      </c>
      <c r="M193" t="str">
        <f t="shared" si="4"/>
        <v>Reorder</v>
      </c>
      <c r="N193">
        <f t="shared" si="5"/>
        <v>8949.6</v>
      </c>
    </row>
    <row r="194" spans="1:14" x14ac:dyDescent="0.3">
      <c r="A194" t="s">
        <v>234</v>
      </c>
      <c r="B194" s="1">
        <v>45820</v>
      </c>
      <c r="C194" t="s">
        <v>13</v>
      </c>
      <c r="D194" t="s">
        <v>27</v>
      </c>
      <c r="E194" t="s">
        <v>83</v>
      </c>
      <c r="F194" t="s">
        <v>16</v>
      </c>
      <c r="G194">
        <v>41</v>
      </c>
      <c r="H194">
        <v>871</v>
      </c>
      <c r="I194">
        <v>35711</v>
      </c>
      <c r="J194">
        <v>221</v>
      </c>
      <c r="K194">
        <v>3</v>
      </c>
      <c r="L194" t="s">
        <v>22</v>
      </c>
      <c r="M194" t="str">
        <f t="shared" si="4"/>
        <v>Available</v>
      </c>
      <c r="N194">
        <f t="shared" si="5"/>
        <v>7142.2000000000007</v>
      </c>
    </row>
    <row r="195" spans="1:14" x14ac:dyDescent="0.3">
      <c r="A195" t="s">
        <v>235</v>
      </c>
      <c r="B195" s="1">
        <v>45931</v>
      </c>
      <c r="C195" t="s">
        <v>13</v>
      </c>
      <c r="D195" t="s">
        <v>31</v>
      </c>
      <c r="E195" t="s">
        <v>40</v>
      </c>
      <c r="F195" t="s">
        <v>29</v>
      </c>
      <c r="G195">
        <v>3</v>
      </c>
      <c r="H195">
        <v>3022</v>
      </c>
      <c r="I195">
        <v>9066</v>
      </c>
      <c r="J195">
        <v>119</v>
      </c>
      <c r="K195">
        <v>8</v>
      </c>
      <c r="L195" t="s">
        <v>17</v>
      </c>
      <c r="M195" t="str">
        <f t="shared" ref="M195:M258" si="6">IF(J195&lt;50,"Reorder","Available")</f>
        <v>Available</v>
      </c>
      <c r="N195">
        <f t="shared" ref="N195:N258" si="7">I195*20%</f>
        <v>1813.2</v>
      </c>
    </row>
    <row r="196" spans="1:14" x14ac:dyDescent="0.3">
      <c r="A196" t="s">
        <v>236</v>
      </c>
      <c r="B196" s="1">
        <v>45742</v>
      </c>
      <c r="C196" t="s">
        <v>19</v>
      </c>
      <c r="D196" t="s">
        <v>27</v>
      </c>
      <c r="E196" t="s">
        <v>83</v>
      </c>
      <c r="F196" t="s">
        <v>24</v>
      </c>
      <c r="G196">
        <v>43</v>
      </c>
      <c r="H196">
        <v>3533</v>
      </c>
      <c r="I196">
        <v>151919</v>
      </c>
      <c r="J196">
        <v>251</v>
      </c>
      <c r="K196">
        <v>3</v>
      </c>
      <c r="L196" t="s">
        <v>22</v>
      </c>
      <c r="M196" t="str">
        <f t="shared" si="6"/>
        <v>Available</v>
      </c>
      <c r="N196">
        <f t="shared" si="7"/>
        <v>30383.800000000003</v>
      </c>
    </row>
    <row r="197" spans="1:14" x14ac:dyDescent="0.3">
      <c r="A197" t="s">
        <v>237</v>
      </c>
      <c r="B197" s="1">
        <v>45682</v>
      </c>
      <c r="C197" t="s">
        <v>26</v>
      </c>
      <c r="D197" t="s">
        <v>27</v>
      </c>
      <c r="E197" t="s">
        <v>64</v>
      </c>
      <c r="F197" t="s">
        <v>24</v>
      </c>
      <c r="G197">
        <v>40</v>
      </c>
      <c r="H197">
        <v>4135</v>
      </c>
      <c r="I197">
        <v>165400</v>
      </c>
      <c r="J197">
        <v>184</v>
      </c>
      <c r="K197">
        <v>5</v>
      </c>
      <c r="L197" t="s">
        <v>22</v>
      </c>
      <c r="M197" t="str">
        <f t="shared" si="6"/>
        <v>Available</v>
      </c>
      <c r="N197">
        <f t="shared" si="7"/>
        <v>33080</v>
      </c>
    </row>
    <row r="198" spans="1:14" x14ac:dyDescent="0.3">
      <c r="A198" t="s">
        <v>238</v>
      </c>
      <c r="B198" s="1">
        <v>45977</v>
      </c>
      <c r="C198" t="s">
        <v>26</v>
      </c>
      <c r="D198" t="s">
        <v>31</v>
      </c>
      <c r="E198" t="s">
        <v>32</v>
      </c>
      <c r="F198" t="s">
        <v>16</v>
      </c>
      <c r="G198">
        <v>43</v>
      </c>
      <c r="H198">
        <v>668</v>
      </c>
      <c r="I198">
        <v>28724</v>
      </c>
      <c r="J198">
        <v>94</v>
      </c>
      <c r="K198">
        <v>7</v>
      </c>
      <c r="L198" t="s">
        <v>17</v>
      </c>
      <c r="M198" t="str">
        <f t="shared" si="6"/>
        <v>Available</v>
      </c>
      <c r="N198">
        <f t="shared" si="7"/>
        <v>5744.8</v>
      </c>
    </row>
    <row r="199" spans="1:14" x14ac:dyDescent="0.3">
      <c r="A199" t="s">
        <v>239</v>
      </c>
      <c r="B199" s="1">
        <v>45790</v>
      </c>
      <c r="C199" t="s">
        <v>38</v>
      </c>
      <c r="D199" t="s">
        <v>31</v>
      </c>
      <c r="E199" t="s">
        <v>45</v>
      </c>
      <c r="F199" t="s">
        <v>21</v>
      </c>
      <c r="G199">
        <v>20</v>
      </c>
      <c r="H199">
        <v>879</v>
      </c>
      <c r="I199">
        <v>17580</v>
      </c>
      <c r="J199">
        <v>158</v>
      </c>
      <c r="K199">
        <v>6</v>
      </c>
      <c r="L199" t="s">
        <v>17</v>
      </c>
      <c r="M199" t="str">
        <f t="shared" si="6"/>
        <v>Available</v>
      </c>
      <c r="N199">
        <f t="shared" si="7"/>
        <v>3516</v>
      </c>
    </row>
    <row r="200" spans="1:14" x14ac:dyDescent="0.3">
      <c r="A200" t="s">
        <v>240</v>
      </c>
      <c r="B200" s="1">
        <v>45689</v>
      </c>
      <c r="C200" t="s">
        <v>26</v>
      </c>
      <c r="D200" t="s">
        <v>51</v>
      </c>
      <c r="E200" t="s">
        <v>52</v>
      </c>
      <c r="F200" t="s">
        <v>29</v>
      </c>
      <c r="G200">
        <v>27</v>
      </c>
      <c r="H200">
        <v>3468</v>
      </c>
      <c r="I200">
        <v>93636</v>
      </c>
      <c r="J200">
        <v>11</v>
      </c>
      <c r="K200">
        <v>5</v>
      </c>
      <c r="L200" t="s">
        <v>22</v>
      </c>
      <c r="M200" t="str">
        <f t="shared" si="6"/>
        <v>Reorder</v>
      </c>
      <c r="N200">
        <f t="shared" si="7"/>
        <v>18727.2</v>
      </c>
    </row>
    <row r="201" spans="1:14" x14ac:dyDescent="0.3">
      <c r="A201" t="s">
        <v>241</v>
      </c>
      <c r="B201" s="1">
        <v>45946</v>
      </c>
      <c r="C201" t="s">
        <v>19</v>
      </c>
      <c r="D201" t="s">
        <v>14</v>
      </c>
      <c r="E201" t="s">
        <v>58</v>
      </c>
      <c r="F201" t="s">
        <v>16</v>
      </c>
      <c r="G201">
        <v>18</v>
      </c>
      <c r="H201">
        <v>968</v>
      </c>
      <c r="I201">
        <v>17424</v>
      </c>
      <c r="J201">
        <v>280</v>
      </c>
      <c r="K201">
        <v>10</v>
      </c>
      <c r="L201" t="s">
        <v>17</v>
      </c>
      <c r="M201" t="str">
        <f t="shared" si="6"/>
        <v>Available</v>
      </c>
      <c r="N201">
        <f t="shared" si="7"/>
        <v>3484.8</v>
      </c>
    </row>
    <row r="202" spans="1:14" x14ac:dyDescent="0.3">
      <c r="A202" t="s">
        <v>242</v>
      </c>
      <c r="B202" s="1">
        <v>45806</v>
      </c>
      <c r="C202" t="s">
        <v>13</v>
      </c>
      <c r="D202" t="s">
        <v>51</v>
      </c>
      <c r="E202" t="s">
        <v>66</v>
      </c>
      <c r="F202" t="s">
        <v>16</v>
      </c>
      <c r="G202">
        <v>48</v>
      </c>
      <c r="H202">
        <v>2756</v>
      </c>
      <c r="I202">
        <v>132288</v>
      </c>
      <c r="J202">
        <v>225</v>
      </c>
      <c r="K202">
        <v>7</v>
      </c>
      <c r="L202" t="s">
        <v>17</v>
      </c>
      <c r="M202" t="str">
        <f t="shared" si="6"/>
        <v>Available</v>
      </c>
      <c r="N202">
        <f t="shared" si="7"/>
        <v>26457.600000000002</v>
      </c>
    </row>
    <row r="203" spans="1:14" x14ac:dyDescent="0.3">
      <c r="A203" t="s">
        <v>243</v>
      </c>
      <c r="B203" s="1">
        <v>45957</v>
      </c>
      <c r="C203" t="s">
        <v>38</v>
      </c>
      <c r="D203" t="s">
        <v>14</v>
      </c>
      <c r="E203" t="s">
        <v>42</v>
      </c>
      <c r="F203" t="s">
        <v>24</v>
      </c>
      <c r="G203">
        <v>13</v>
      </c>
      <c r="H203">
        <v>2719</v>
      </c>
      <c r="I203">
        <v>35347</v>
      </c>
      <c r="J203">
        <v>199</v>
      </c>
      <c r="K203">
        <v>10</v>
      </c>
      <c r="L203" t="s">
        <v>17</v>
      </c>
      <c r="M203" t="str">
        <f t="shared" si="6"/>
        <v>Available</v>
      </c>
      <c r="N203">
        <f t="shared" si="7"/>
        <v>7069.4000000000005</v>
      </c>
    </row>
    <row r="204" spans="1:14" x14ac:dyDescent="0.3">
      <c r="A204" t="s">
        <v>244</v>
      </c>
      <c r="B204" s="1">
        <v>45810</v>
      </c>
      <c r="C204" t="s">
        <v>38</v>
      </c>
      <c r="D204" t="s">
        <v>31</v>
      </c>
      <c r="E204" t="s">
        <v>45</v>
      </c>
      <c r="F204" t="s">
        <v>21</v>
      </c>
      <c r="G204">
        <v>3</v>
      </c>
      <c r="H204">
        <v>3114</v>
      </c>
      <c r="I204">
        <v>9342</v>
      </c>
      <c r="J204">
        <v>157</v>
      </c>
      <c r="K204">
        <v>4</v>
      </c>
      <c r="L204" t="s">
        <v>22</v>
      </c>
      <c r="M204" t="str">
        <f t="shared" si="6"/>
        <v>Available</v>
      </c>
      <c r="N204">
        <f t="shared" si="7"/>
        <v>1868.4</v>
      </c>
    </row>
    <row r="205" spans="1:14" x14ac:dyDescent="0.3">
      <c r="A205" t="s">
        <v>245</v>
      </c>
      <c r="B205" s="1">
        <v>45997</v>
      </c>
      <c r="C205" t="s">
        <v>26</v>
      </c>
      <c r="D205" t="s">
        <v>14</v>
      </c>
      <c r="E205" t="s">
        <v>20</v>
      </c>
      <c r="F205" t="s">
        <v>24</v>
      </c>
      <c r="G205">
        <v>49</v>
      </c>
      <c r="H205">
        <v>1449</v>
      </c>
      <c r="I205">
        <v>71001</v>
      </c>
      <c r="J205">
        <v>294</v>
      </c>
      <c r="K205">
        <v>5</v>
      </c>
      <c r="L205" t="s">
        <v>22</v>
      </c>
      <c r="M205" t="str">
        <f t="shared" si="6"/>
        <v>Available</v>
      </c>
      <c r="N205">
        <f t="shared" si="7"/>
        <v>14200.2</v>
      </c>
    </row>
    <row r="206" spans="1:14" x14ac:dyDescent="0.3">
      <c r="A206" t="s">
        <v>246</v>
      </c>
      <c r="B206" s="1">
        <v>46018</v>
      </c>
      <c r="C206" t="s">
        <v>26</v>
      </c>
      <c r="D206" t="s">
        <v>51</v>
      </c>
      <c r="E206" t="s">
        <v>52</v>
      </c>
      <c r="F206" t="s">
        <v>16</v>
      </c>
      <c r="G206">
        <v>34</v>
      </c>
      <c r="H206">
        <v>4076</v>
      </c>
      <c r="I206">
        <v>138584</v>
      </c>
      <c r="J206">
        <v>181</v>
      </c>
      <c r="K206">
        <v>9</v>
      </c>
      <c r="L206" t="s">
        <v>17</v>
      </c>
      <c r="M206" t="str">
        <f t="shared" si="6"/>
        <v>Available</v>
      </c>
      <c r="N206">
        <f t="shared" si="7"/>
        <v>27716.800000000003</v>
      </c>
    </row>
    <row r="207" spans="1:14" x14ac:dyDescent="0.3">
      <c r="A207" t="s">
        <v>247</v>
      </c>
      <c r="B207" s="1">
        <v>45675</v>
      </c>
      <c r="C207" t="s">
        <v>26</v>
      </c>
      <c r="D207" t="s">
        <v>27</v>
      </c>
      <c r="E207" t="s">
        <v>64</v>
      </c>
      <c r="F207" t="s">
        <v>16</v>
      </c>
      <c r="G207">
        <v>6</v>
      </c>
      <c r="H207">
        <v>4920</v>
      </c>
      <c r="I207">
        <v>29520</v>
      </c>
      <c r="J207">
        <v>237</v>
      </c>
      <c r="K207">
        <v>6</v>
      </c>
      <c r="L207" t="s">
        <v>17</v>
      </c>
      <c r="M207" t="str">
        <f t="shared" si="6"/>
        <v>Available</v>
      </c>
      <c r="N207">
        <f t="shared" si="7"/>
        <v>5904</v>
      </c>
    </row>
    <row r="208" spans="1:14" x14ac:dyDescent="0.3">
      <c r="A208" t="s">
        <v>248</v>
      </c>
      <c r="B208" s="1">
        <v>45907</v>
      </c>
      <c r="C208" t="s">
        <v>26</v>
      </c>
      <c r="D208" t="s">
        <v>14</v>
      </c>
      <c r="E208" t="s">
        <v>20</v>
      </c>
      <c r="F208" t="s">
        <v>21</v>
      </c>
      <c r="G208">
        <v>9</v>
      </c>
      <c r="H208">
        <v>2194</v>
      </c>
      <c r="I208">
        <v>19746</v>
      </c>
      <c r="J208">
        <v>192</v>
      </c>
      <c r="K208">
        <v>6</v>
      </c>
      <c r="L208" t="s">
        <v>17</v>
      </c>
      <c r="M208" t="str">
        <f t="shared" si="6"/>
        <v>Available</v>
      </c>
      <c r="N208">
        <f t="shared" si="7"/>
        <v>3949.2000000000003</v>
      </c>
    </row>
    <row r="209" spans="1:14" x14ac:dyDescent="0.3">
      <c r="A209" t="s">
        <v>249</v>
      </c>
      <c r="B209" s="1">
        <v>45882</v>
      </c>
      <c r="C209" t="s">
        <v>13</v>
      </c>
      <c r="D209" t="s">
        <v>31</v>
      </c>
      <c r="E209" t="s">
        <v>40</v>
      </c>
      <c r="F209" t="s">
        <v>16</v>
      </c>
      <c r="G209">
        <v>32</v>
      </c>
      <c r="H209">
        <v>2327</v>
      </c>
      <c r="I209">
        <v>74464</v>
      </c>
      <c r="J209">
        <v>216</v>
      </c>
      <c r="K209">
        <v>5</v>
      </c>
      <c r="L209" t="s">
        <v>22</v>
      </c>
      <c r="M209" t="str">
        <f t="shared" si="6"/>
        <v>Available</v>
      </c>
      <c r="N209">
        <f t="shared" si="7"/>
        <v>14892.800000000001</v>
      </c>
    </row>
    <row r="210" spans="1:14" x14ac:dyDescent="0.3">
      <c r="A210" t="s">
        <v>250</v>
      </c>
      <c r="B210" s="1">
        <v>45700</v>
      </c>
      <c r="C210" t="s">
        <v>19</v>
      </c>
      <c r="D210" t="s">
        <v>31</v>
      </c>
      <c r="E210" t="s">
        <v>76</v>
      </c>
      <c r="F210" t="s">
        <v>24</v>
      </c>
      <c r="G210">
        <v>12</v>
      </c>
      <c r="H210">
        <v>2080</v>
      </c>
      <c r="I210">
        <v>24960</v>
      </c>
      <c r="J210">
        <v>275</v>
      </c>
      <c r="K210">
        <v>10</v>
      </c>
      <c r="L210" t="s">
        <v>17</v>
      </c>
      <c r="M210" t="str">
        <f t="shared" si="6"/>
        <v>Available</v>
      </c>
      <c r="N210">
        <f t="shared" si="7"/>
        <v>4992</v>
      </c>
    </row>
    <row r="211" spans="1:14" x14ac:dyDescent="0.3">
      <c r="A211" t="s">
        <v>251</v>
      </c>
      <c r="B211" s="1">
        <v>45705</v>
      </c>
      <c r="C211" t="s">
        <v>26</v>
      </c>
      <c r="D211" t="s">
        <v>14</v>
      </c>
      <c r="E211" t="s">
        <v>15</v>
      </c>
      <c r="F211" t="s">
        <v>24</v>
      </c>
      <c r="G211">
        <v>22</v>
      </c>
      <c r="H211">
        <v>2517</v>
      </c>
      <c r="I211">
        <v>55374</v>
      </c>
      <c r="J211">
        <v>128</v>
      </c>
      <c r="K211">
        <v>7</v>
      </c>
      <c r="L211" t="s">
        <v>17</v>
      </c>
      <c r="M211" t="str">
        <f t="shared" si="6"/>
        <v>Available</v>
      </c>
      <c r="N211">
        <f t="shared" si="7"/>
        <v>11074.800000000001</v>
      </c>
    </row>
    <row r="212" spans="1:14" x14ac:dyDescent="0.3">
      <c r="A212" t="s">
        <v>252</v>
      </c>
      <c r="B212" s="1">
        <v>45899</v>
      </c>
      <c r="C212" t="s">
        <v>26</v>
      </c>
      <c r="D212" t="s">
        <v>31</v>
      </c>
      <c r="E212" t="s">
        <v>32</v>
      </c>
      <c r="F212" t="s">
        <v>24</v>
      </c>
      <c r="G212">
        <v>27</v>
      </c>
      <c r="H212">
        <v>1937</v>
      </c>
      <c r="I212">
        <v>52299</v>
      </c>
      <c r="J212">
        <v>123</v>
      </c>
      <c r="K212">
        <v>3</v>
      </c>
      <c r="L212" t="s">
        <v>22</v>
      </c>
      <c r="M212" t="str">
        <f t="shared" si="6"/>
        <v>Available</v>
      </c>
      <c r="N212">
        <f t="shared" si="7"/>
        <v>10459.800000000001</v>
      </c>
    </row>
    <row r="213" spans="1:14" x14ac:dyDescent="0.3">
      <c r="A213" t="s">
        <v>253</v>
      </c>
      <c r="B213" s="1">
        <v>45912</v>
      </c>
      <c r="C213" t="s">
        <v>26</v>
      </c>
      <c r="D213" t="s">
        <v>51</v>
      </c>
      <c r="E213" t="s">
        <v>56</v>
      </c>
      <c r="F213" t="s">
        <v>24</v>
      </c>
      <c r="G213">
        <v>22</v>
      </c>
      <c r="H213">
        <v>2801</v>
      </c>
      <c r="I213">
        <v>61622</v>
      </c>
      <c r="J213">
        <v>10</v>
      </c>
      <c r="K213">
        <v>5</v>
      </c>
      <c r="L213" t="s">
        <v>22</v>
      </c>
      <c r="M213" t="str">
        <f t="shared" si="6"/>
        <v>Reorder</v>
      </c>
      <c r="N213">
        <f t="shared" si="7"/>
        <v>12324.400000000001</v>
      </c>
    </row>
    <row r="214" spans="1:14" x14ac:dyDescent="0.3">
      <c r="A214" t="s">
        <v>254</v>
      </c>
      <c r="B214" s="1">
        <v>45878</v>
      </c>
      <c r="C214" t="s">
        <v>19</v>
      </c>
      <c r="D214" t="s">
        <v>31</v>
      </c>
      <c r="E214" t="s">
        <v>45</v>
      </c>
      <c r="F214" t="s">
        <v>24</v>
      </c>
      <c r="G214">
        <v>28</v>
      </c>
      <c r="H214">
        <v>3887</v>
      </c>
      <c r="I214">
        <v>108836</v>
      </c>
      <c r="J214">
        <v>74</v>
      </c>
      <c r="K214">
        <v>2</v>
      </c>
      <c r="L214" t="s">
        <v>22</v>
      </c>
      <c r="M214" t="str">
        <f t="shared" si="6"/>
        <v>Available</v>
      </c>
      <c r="N214">
        <f t="shared" si="7"/>
        <v>21767.200000000001</v>
      </c>
    </row>
    <row r="215" spans="1:14" x14ac:dyDescent="0.3">
      <c r="A215" t="s">
        <v>255</v>
      </c>
      <c r="B215" s="1">
        <v>45700</v>
      </c>
      <c r="C215" t="s">
        <v>26</v>
      </c>
      <c r="D215" t="s">
        <v>31</v>
      </c>
      <c r="E215" t="s">
        <v>76</v>
      </c>
      <c r="F215" t="s">
        <v>21</v>
      </c>
      <c r="G215">
        <v>17</v>
      </c>
      <c r="H215">
        <v>4216</v>
      </c>
      <c r="I215">
        <v>71672</v>
      </c>
      <c r="J215">
        <v>132</v>
      </c>
      <c r="K215">
        <v>7</v>
      </c>
      <c r="L215" t="s">
        <v>17</v>
      </c>
      <c r="M215" t="str">
        <f t="shared" si="6"/>
        <v>Available</v>
      </c>
      <c r="N215">
        <f t="shared" si="7"/>
        <v>14334.400000000001</v>
      </c>
    </row>
    <row r="216" spans="1:14" x14ac:dyDescent="0.3">
      <c r="A216" t="s">
        <v>256</v>
      </c>
      <c r="B216" s="1">
        <v>45948</v>
      </c>
      <c r="C216" t="s">
        <v>26</v>
      </c>
      <c r="D216" t="s">
        <v>14</v>
      </c>
      <c r="E216" t="s">
        <v>58</v>
      </c>
      <c r="F216" t="s">
        <v>21</v>
      </c>
      <c r="G216">
        <v>46</v>
      </c>
      <c r="H216">
        <v>4352</v>
      </c>
      <c r="I216">
        <v>200192</v>
      </c>
      <c r="J216">
        <v>191</v>
      </c>
      <c r="K216">
        <v>7</v>
      </c>
      <c r="L216" t="s">
        <v>17</v>
      </c>
      <c r="M216" t="str">
        <f t="shared" si="6"/>
        <v>Available</v>
      </c>
      <c r="N216">
        <f t="shared" si="7"/>
        <v>40038.400000000001</v>
      </c>
    </row>
    <row r="217" spans="1:14" x14ac:dyDescent="0.3">
      <c r="A217" t="s">
        <v>257</v>
      </c>
      <c r="B217" s="1">
        <v>45844</v>
      </c>
      <c r="C217" t="s">
        <v>38</v>
      </c>
      <c r="D217" t="s">
        <v>27</v>
      </c>
      <c r="E217" t="s">
        <v>83</v>
      </c>
      <c r="F217" t="s">
        <v>16</v>
      </c>
      <c r="G217">
        <v>49</v>
      </c>
      <c r="H217">
        <v>3231</v>
      </c>
      <c r="I217">
        <v>158319</v>
      </c>
      <c r="J217">
        <v>117</v>
      </c>
      <c r="K217">
        <v>8</v>
      </c>
      <c r="L217" t="s">
        <v>17</v>
      </c>
      <c r="M217" t="str">
        <f t="shared" si="6"/>
        <v>Available</v>
      </c>
      <c r="N217">
        <f t="shared" si="7"/>
        <v>31663.800000000003</v>
      </c>
    </row>
    <row r="218" spans="1:14" x14ac:dyDescent="0.3">
      <c r="A218" t="s">
        <v>258</v>
      </c>
      <c r="B218" s="1">
        <v>45815</v>
      </c>
      <c r="C218" t="s">
        <v>38</v>
      </c>
      <c r="D218" t="s">
        <v>51</v>
      </c>
      <c r="E218" t="s">
        <v>90</v>
      </c>
      <c r="F218" t="s">
        <v>29</v>
      </c>
      <c r="G218">
        <v>27</v>
      </c>
      <c r="H218">
        <v>2020</v>
      </c>
      <c r="I218">
        <v>54540</v>
      </c>
      <c r="J218">
        <v>146</v>
      </c>
      <c r="K218">
        <v>2</v>
      </c>
      <c r="L218" t="s">
        <v>22</v>
      </c>
      <c r="M218" t="str">
        <f t="shared" si="6"/>
        <v>Available</v>
      </c>
      <c r="N218">
        <f t="shared" si="7"/>
        <v>10908</v>
      </c>
    </row>
    <row r="219" spans="1:14" x14ac:dyDescent="0.3">
      <c r="A219" t="s">
        <v>259</v>
      </c>
      <c r="B219" s="1">
        <v>45919</v>
      </c>
      <c r="C219" t="s">
        <v>38</v>
      </c>
      <c r="D219" t="s">
        <v>31</v>
      </c>
      <c r="E219" t="s">
        <v>32</v>
      </c>
      <c r="F219" t="s">
        <v>24</v>
      </c>
      <c r="G219">
        <v>2</v>
      </c>
      <c r="H219">
        <v>1464</v>
      </c>
      <c r="I219">
        <v>2928</v>
      </c>
      <c r="J219">
        <v>129</v>
      </c>
      <c r="K219">
        <v>2</v>
      </c>
      <c r="L219" t="s">
        <v>22</v>
      </c>
      <c r="M219" t="str">
        <f t="shared" si="6"/>
        <v>Available</v>
      </c>
      <c r="N219">
        <f t="shared" si="7"/>
        <v>585.6</v>
      </c>
    </row>
    <row r="220" spans="1:14" x14ac:dyDescent="0.3">
      <c r="A220" t="s">
        <v>260</v>
      </c>
      <c r="B220" s="1">
        <v>45968</v>
      </c>
      <c r="C220" t="s">
        <v>38</v>
      </c>
      <c r="D220" t="s">
        <v>31</v>
      </c>
      <c r="E220" t="s">
        <v>76</v>
      </c>
      <c r="F220" t="s">
        <v>24</v>
      </c>
      <c r="G220">
        <v>17</v>
      </c>
      <c r="H220">
        <v>1978</v>
      </c>
      <c r="I220">
        <v>33626</v>
      </c>
      <c r="J220">
        <v>180</v>
      </c>
      <c r="K220">
        <v>9</v>
      </c>
      <c r="L220" t="s">
        <v>17</v>
      </c>
      <c r="M220" t="str">
        <f t="shared" si="6"/>
        <v>Available</v>
      </c>
      <c r="N220">
        <f t="shared" si="7"/>
        <v>6725.2000000000007</v>
      </c>
    </row>
    <row r="221" spans="1:14" x14ac:dyDescent="0.3">
      <c r="A221" t="s">
        <v>261</v>
      </c>
      <c r="B221" s="1">
        <v>45806</v>
      </c>
      <c r="C221" t="s">
        <v>19</v>
      </c>
      <c r="D221" t="s">
        <v>14</v>
      </c>
      <c r="E221" t="s">
        <v>42</v>
      </c>
      <c r="F221" t="s">
        <v>24</v>
      </c>
      <c r="G221">
        <v>15</v>
      </c>
      <c r="H221">
        <v>4934</v>
      </c>
      <c r="I221">
        <v>74010</v>
      </c>
      <c r="J221">
        <v>66</v>
      </c>
      <c r="K221">
        <v>5</v>
      </c>
      <c r="L221" t="s">
        <v>22</v>
      </c>
      <c r="M221" t="str">
        <f t="shared" si="6"/>
        <v>Available</v>
      </c>
      <c r="N221">
        <f t="shared" si="7"/>
        <v>14802</v>
      </c>
    </row>
    <row r="222" spans="1:14" x14ac:dyDescent="0.3">
      <c r="A222" t="s">
        <v>262</v>
      </c>
      <c r="B222" s="1">
        <v>45915</v>
      </c>
      <c r="C222" t="s">
        <v>38</v>
      </c>
      <c r="D222" t="s">
        <v>31</v>
      </c>
      <c r="E222" t="s">
        <v>45</v>
      </c>
      <c r="F222" t="s">
        <v>21</v>
      </c>
      <c r="G222">
        <v>5</v>
      </c>
      <c r="H222">
        <v>556</v>
      </c>
      <c r="I222">
        <v>2780</v>
      </c>
      <c r="J222">
        <v>217</v>
      </c>
      <c r="K222">
        <v>9</v>
      </c>
      <c r="L222" t="s">
        <v>17</v>
      </c>
      <c r="M222" t="str">
        <f t="shared" si="6"/>
        <v>Available</v>
      </c>
      <c r="N222">
        <f t="shared" si="7"/>
        <v>556</v>
      </c>
    </row>
    <row r="223" spans="1:14" x14ac:dyDescent="0.3">
      <c r="A223" t="s">
        <v>263</v>
      </c>
      <c r="B223" s="1">
        <v>45682</v>
      </c>
      <c r="C223" t="s">
        <v>26</v>
      </c>
      <c r="D223" t="s">
        <v>27</v>
      </c>
      <c r="E223" t="s">
        <v>34</v>
      </c>
      <c r="F223" t="s">
        <v>16</v>
      </c>
      <c r="G223">
        <v>14</v>
      </c>
      <c r="H223">
        <v>1108</v>
      </c>
      <c r="I223">
        <v>15512</v>
      </c>
      <c r="J223">
        <v>225</v>
      </c>
      <c r="K223">
        <v>5</v>
      </c>
      <c r="L223" t="s">
        <v>22</v>
      </c>
      <c r="M223" t="str">
        <f t="shared" si="6"/>
        <v>Available</v>
      </c>
      <c r="N223">
        <f t="shared" si="7"/>
        <v>3102.4</v>
      </c>
    </row>
    <row r="224" spans="1:14" x14ac:dyDescent="0.3">
      <c r="A224" t="s">
        <v>264</v>
      </c>
      <c r="B224" s="1">
        <v>45732</v>
      </c>
      <c r="C224" t="s">
        <v>13</v>
      </c>
      <c r="D224" t="s">
        <v>31</v>
      </c>
      <c r="E224" t="s">
        <v>40</v>
      </c>
      <c r="F224" t="s">
        <v>21</v>
      </c>
      <c r="G224">
        <v>1</v>
      </c>
      <c r="H224">
        <v>3747</v>
      </c>
      <c r="I224">
        <v>3747</v>
      </c>
      <c r="J224">
        <v>261</v>
      </c>
      <c r="K224">
        <v>7</v>
      </c>
      <c r="L224" t="s">
        <v>17</v>
      </c>
      <c r="M224" t="str">
        <f t="shared" si="6"/>
        <v>Available</v>
      </c>
      <c r="N224">
        <f t="shared" si="7"/>
        <v>749.40000000000009</v>
      </c>
    </row>
    <row r="225" spans="1:14" x14ac:dyDescent="0.3">
      <c r="A225" t="s">
        <v>265</v>
      </c>
      <c r="B225" s="1">
        <v>45726</v>
      </c>
      <c r="C225" t="s">
        <v>38</v>
      </c>
      <c r="D225" t="s">
        <v>31</v>
      </c>
      <c r="E225" t="s">
        <v>76</v>
      </c>
      <c r="F225" t="s">
        <v>16</v>
      </c>
      <c r="G225">
        <v>11</v>
      </c>
      <c r="H225">
        <v>4063</v>
      </c>
      <c r="I225">
        <v>44693</v>
      </c>
      <c r="J225">
        <v>293</v>
      </c>
      <c r="K225">
        <v>9</v>
      </c>
      <c r="L225" t="s">
        <v>17</v>
      </c>
      <c r="M225" t="str">
        <f t="shared" si="6"/>
        <v>Available</v>
      </c>
      <c r="N225">
        <f t="shared" si="7"/>
        <v>8938.6</v>
      </c>
    </row>
    <row r="226" spans="1:14" x14ac:dyDescent="0.3">
      <c r="A226" t="s">
        <v>266</v>
      </c>
      <c r="B226" s="1">
        <v>45718</v>
      </c>
      <c r="C226" t="s">
        <v>38</v>
      </c>
      <c r="D226" t="s">
        <v>27</v>
      </c>
      <c r="E226" t="s">
        <v>34</v>
      </c>
      <c r="F226" t="s">
        <v>24</v>
      </c>
      <c r="G226">
        <v>4</v>
      </c>
      <c r="H226">
        <v>780</v>
      </c>
      <c r="I226">
        <v>3120</v>
      </c>
      <c r="J226">
        <v>96</v>
      </c>
      <c r="K226">
        <v>8</v>
      </c>
      <c r="L226" t="s">
        <v>17</v>
      </c>
      <c r="M226" t="str">
        <f t="shared" si="6"/>
        <v>Available</v>
      </c>
      <c r="N226">
        <f t="shared" si="7"/>
        <v>624</v>
      </c>
    </row>
    <row r="227" spans="1:14" x14ac:dyDescent="0.3">
      <c r="A227" t="s">
        <v>267</v>
      </c>
      <c r="B227" s="1">
        <v>45917</v>
      </c>
      <c r="C227" t="s">
        <v>19</v>
      </c>
      <c r="D227" t="s">
        <v>31</v>
      </c>
      <c r="E227" t="s">
        <v>32</v>
      </c>
      <c r="F227" t="s">
        <v>21</v>
      </c>
      <c r="G227">
        <v>31</v>
      </c>
      <c r="H227">
        <v>1873</v>
      </c>
      <c r="I227">
        <v>58063</v>
      </c>
      <c r="J227">
        <v>14</v>
      </c>
      <c r="K227">
        <v>6</v>
      </c>
      <c r="L227" t="s">
        <v>17</v>
      </c>
      <c r="M227" t="str">
        <f t="shared" si="6"/>
        <v>Reorder</v>
      </c>
      <c r="N227">
        <f t="shared" si="7"/>
        <v>11612.6</v>
      </c>
    </row>
    <row r="228" spans="1:14" x14ac:dyDescent="0.3">
      <c r="A228" t="s">
        <v>268</v>
      </c>
      <c r="B228" s="1">
        <v>45737</v>
      </c>
      <c r="C228" t="s">
        <v>26</v>
      </c>
      <c r="D228" t="s">
        <v>27</v>
      </c>
      <c r="E228" t="s">
        <v>34</v>
      </c>
      <c r="F228" t="s">
        <v>16</v>
      </c>
      <c r="G228">
        <v>47</v>
      </c>
      <c r="H228">
        <v>3820</v>
      </c>
      <c r="I228">
        <v>179540</v>
      </c>
      <c r="J228">
        <v>191</v>
      </c>
      <c r="K228">
        <v>8</v>
      </c>
      <c r="L228" t="s">
        <v>17</v>
      </c>
      <c r="M228" t="str">
        <f t="shared" si="6"/>
        <v>Available</v>
      </c>
      <c r="N228">
        <f t="shared" si="7"/>
        <v>35908</v>
      </c>
    </row>
    <row r="229" spans="1:14" x14ac:dyDescent="0.3">
      <c r="A229" t="s">
        <v>269</v>
      </c>
      <c r="B229" s="1">
        <v>45951</v>
      </c>
      <c r="C229" t="s">
        <v>26</v>
      </c>
      <c r="D229" t="s">
        <v>14</v>
      </c>
      <c r="E229" t="s">
        <v>20</v>
      </c>
      <c r="F229" t="s">
        <v>29</v>
      </c>
      <c r="G229">
        <v>47</v>
      </c>
      <c r="H229">
        <v>4730</v>
      </c>
      <c r="I229">
        <v>222310</v>
      </c>
      <c r="J229">
        <v>251</v>
      </c>
      <c r="K229">
        <v>5</v>
      </c>
      <c r="L229" t="s">
        <v>22</v>
      </c>
      <c r="M229" t="str">
        <f t="shared" si="6"/>
        <v>Available</v>
      </c>
      <c r="N229">
        <f t="shared" si="7"/>
        <v>44462</v>
      </c>
    </row>
    <row r="230" spans="1:14" x14ac:dyDescent="0.3">
      <c r="A230" t="s">
        <v>270</v>
      </c>
      <c r="B230" s="1">
        <v>45886</v>
      </c>
      <c r="C230" t="s">
        <v>38</v>
      </c>
      <c r="D230" t="s">
        <v>31</v>
      </c>
      <c r="E230" t="s">
        <v>45</v>
      </c>
      <c r="F230" t="s">
        <v>21</v>
      </c>
      <c r="G230">
        <v>49</v>
      </c>
      <c r="H230">
        <v>4291</v>
      </c>
      <c r="I230">
        <v>210259</v>
      </c>
      <c r="J230">
        <v>197</v>
      </c>
      <c r="K230">
        <v>4</v>
      </c>
      <c r="L230" t="s">
        <v>22</v>
      </c>
      <c r="M230" t="str">
        <f t="shared" si="6"/>
        <v>Available</v>
      </c>
      <c r="N230">
        <f t="shared" si="7"/>
        <v>42051.8</v>
      </c>
    </row>
    <row r="231" spans="1:14" x14ac:dyDescent="0.3">
      <c r="A231" t="s">
        <v>271</v>
      </c>
      <c r="B231" s="1">
        <v>45941</v>
      </c>
      <c r="C231" t="s">
        <v>38</v>
      </c>
      <c r="D231" t="s">
        <v>14</v>
      </c>
      <c r="E231" t="s">
        <v>15</v>
      </c>
      <c r="F231" t="s">
        <v>29</v>
      </c>
      <c r="G231">
        <v>18</v>
      </c>
      <c r="H231">
        <v>1487</v>
      </c>
      <c r="I231">
        <v>26766</v>
      </c>
      <c r="J231">
        <v>56</v>
      </c>
      <c r="K231">
        <v>2</v>
      </c>
      <c r="L231" t="s">
        <v>22</v>
      </c>
      <c r="M231" t="str">
        <f t="shared" si="6"/>
        <v>Available</v>
      </c>
      <c r="N231">
        <f t="shared" si="7"/>
        <v>5353.2000000000007</v>
      </c>
    </row>
    <row r="232" spans="1:14" x14ac:dyDescent="0.3">
      <c r="A232" t="s">
        <v>272</v>
      </c>
      <c r="B232" s="1">
        <v>45805</v>
      </c>
      <c r="C232" t="s">
        <v>26</v>
      </c>
      <c r="D232" t="s">
        <v>14</v>
      </c>
      <c r="E232" t="s">
        <v>42</v>
      </c>
      <c r="F232" t="s">
        <v>16</v>
      </c>
      <c r="G232">
        <v>25</v>
      </c>
      <c r="H232">
        <v>2109</v>
      </c>
      <c r="I232">
        <v>52725</v>
      </c>
      <c r="J232">
        <v>12</v>
      </c>
      <c r="K232">
        <v>3</v>
      </c>
      <c r="L232" t="s">
        <v>22</v>
      </c>
      <c r="M232" t="str">
        <f t="shared" si="6"/>
        <v>Reorder</v>
      </c>
      <c r="N232">
        <f t="shared" si="7"/>
        <v>10545</v>
      </c>
    </row>
    <row r="233" spans="1:14" x14ac:dyDescent="0.3">
      <c r="A233" t="s">
        <v>273</v>
      </c>
      <c r="B233" s="1">
        <v>45891</v>
      </c>
      <c r="C233" t="s">
        <v>13</v>
      </c>
      <c r="D233" t="s">
        <v>27</v>
      </c>
      <c r="E233" t="s">
        <v>28</v>
      </c>
      <c r="F233" t="s">
        <v>24</v>
      </c>
      <c r="G233">
        <v>11</v>
      </c>
      <c r="H233">
        <v>4094</v>
      </c>
      <c r="I233">
        <v>45034</v>
      </c>
      <c r="J233">
        <v>91</v>
      </c>
      <c r="K233">
        <v>2</v>
      </c>
      <c r="L233" t="s">
        <v>22</v>
      </c>
      <c r="M233" t="str">
        <f t="shared" si="6"/>
        <v>Available</v>
      </c>
      <c r="N233">
        <f t="shared" si="7"/>
        <v>9006.8000000000011</v>
      </c>
    </row>
    <row r="234" spans="1:14" x14ac:dyDescent="0.3">
      <c r="A234" t="s">
        <v>274</v>
      </c>
      <c r="B234" s="1">
        <v>45739</v>
      </c>
      <c r="C234" t="s">
        <v>19</v>
      </c>
      <c r="D234" t="s">
        <v>31</v>
      </c>
      <c r="E234" t="s">
        <v>32</v>
      </c>
      <c r="F234" t="s">
        <v>21</v>
      </c>
      <c r="G234">
        <v>24</v>
      </c>
      <c r="H234">
        <v>4405</v>
      </c>
      <c r="I234">
        <v>105720</v>
      </c>
      <c r="J234">
        <v>165</v>
      </c>
      <c r="K234">
        <v>7</v>
      </c>
      <c r="L234" t="s">
        <v>17</v>
      </c>
      <c r="M234" t="str">
        <f t="shared" si="6"/>
        <v>Available</v>
      </c>
      <c r="N234">
        <f t="shared" si="7"/>
        <v>21144</v>
      </c>
    </row>
    <row r="235" spans="1:14" x14ac:dyDescent="0.3">
      <c r="A235" t="s">
        <v>275</v>
      </c>
      <c r="B235" s="1">
        <v>45664</v>
      </c>
      <c r="C235" t="s">
        <v>26</v>
      </c>
      <c r="D235" t="s">
        <v>31</v>
      </c>
      <c r="E235" t="s">
        <v>76</v>
      </c>
      <c r="F235" t="s">
        <v>16</v>
      </c>
      <c r="G235">
        <v>37</v>
      </c>
      <c r="H235">
        <v>1678</v>
      </c>
      <c r="I235">
        <v>62086</v>
      </c>
      <c r="J235">
        <v>97</v>
      </c>
      <c r="K235">
        <v>10</v>
      </c>
      <c r="L235" t="s">
        <v>17</v>
      </c>
      <c r="M235" t="str">
        <f t="shared" si="6"/>
        <v>Available</v>
      </c>
      <c r="N235">
        <f t="shared" si="7"/>
        <v>12417.2</v>
      </c>
    </row>
    <row r="236" spans="1:14" x14ac:dyDescent="0.3">
      <c r="A236" t="s">
        <v>276</v>
      </c>
      <c r="B236" s="1">
        <v>46020</v>
      </c>
      <c r="C236" t="s">
        <v>13</v>
      </c>
      <c r="D236" t="s">
        <v>51</v>
      </c>
      <c r="E236" t="s">
        <v>90</v>
      </c>
      <c r="F236" t="s">
        <v>29</v>
      </c>
      <c r="G236">
        <v>21</v>
      </c>
      <c r="H236">
        <v>4688</v>
      </c>
      <c r="I236">
        <v>98448</v>
      </c>
      <c r="J236">
        <v>226</v>
      </c>
      <c r="K236">
        <v>9</v>
      </c>
      <c r="L236" t="s">
        <v>17</v>
      </c>
      <c r="M236" t="str">
        <f t="shared" si="6"/>
        <v>Available</v>
      </c>
      <c r="N236">
        <f t="shared" si="7"/>
        <v>19689.600000000002</v>
      </c>
    </row>
    <row r="237" spans="1:14" x14ac:dyDescent="0.3">
      <c r="A237" t="s">
        <v>277</v>
      </c>
      <c r="B237" s="1">
        <v>45941</v>
      </c>
      <c r="C237" t="s">
        <v>26</v>
      </c>
      <c r="D237" t="s">
        <v>14</v>
      </c>
      <c r="E237" t="s">
        <v>15</v>
      </c>
      <c r="F237" t="s">
        <v>16</v>
      </c>
      <c r="G237">
        <v>34</v>
      </c>
      <c r="H237">
        <v>1146</v>
      </c>
      <c r="I237">
        <v>38964</v>
      </c>
      <c r="J237">
        <v>234</v>
      </c>
      <c r="K237">
        <v>8</v>
      </c>
      <c r="L237" t="s">
        <v>17</v>
      </c>
      <c r="M237" t="str">
        <f t="shared" si="6"/>
        <v>Available</v>
      </c>
      <c r="N237">
        <f t="shared" si="7"/>
        <v>7792.8</v>
      </c>
    </row>
    <row r="238" spans="1:14" x14ac:dyDescent="0.3">
      <c r="A238" t="s">
        <v>278</v>
      </c>
      <c r="B238" s="1">
        <v>45778</v>
      </c>
      <c r="C238" t="s">
        <v>13</v>
      </c>
      <c r="D238" t="s">
        <v>27</v>
      </c>
      <c r="E238" t="s">
        <v>28</v>
      </c>
      <c r="F238" t="s">
        <v>21</v>
      </c>
      <c r="G238">
        <v>38</v>
      </c>
      <c r="H238">
        <v>1976</v>
      </c>
      <c r="I238">
        <v>75088</v>
      </c>
      <c r="J238">
        <v>162</v>
      </c>
      <c r="K238">
        <v>4</v>
      </c>
      <c r="L238" t="s">
        <v>22</v>
      </c>
      <c r="M238" t="str">
        <f t="shared" si="6"/>
        <v>Available</v>
      </c>
      <c r="N238">
        <f t="shared" si="7"/>
        <v>15017.6</v>
      </c>
    </row>
    <row r="239" spans="1:14" x14ac:dyDescent="0.3">
      <c r="A239" t="s">
        <v>279</v>
      </c>
      <c r="B239" s="1">
        <v>45985</v>
      </c>
      <c r="C239" t="s">
        <v>38</v>
      </c>
      <c r="D239" t="s">
        <v>31</v>
      </c>
      <c r="E239" t="s">
        <v>45</v>
      </c>
      <c r="F239" t="s">
        <v>24</v>
      </c>
      <c r="G239">
        <v>43</v>
      </c>
      <c r="H239">
        <v>573</v>
      </c>
      <c r="I239">
        <v>24639</v>
      </c>
      <c r="J239">
        <v>133</v>
      </c>
      <c r="K239">
        <v>7</v>
      </c>
      <c r="L239" t="s">
        <v>17</v>
      </c>
      <c r="M239" t="str">
        <f t="shared" si="6"/>
        <v>Available</v>
      </c>
      <c r="N239">
        <f t="shared" si="7"/>
        <v>4927.8</v>
      </c>
    </row>
    <row r="240" spans="1:14" x14ac:dyDescent="0.3">
      <c r="A240" t="s">
        <v>280</v>
      </c>
      <c r="B240" s="1">
        <v>45882</v>
      </c>
      <c r="C240" t="s">
        <v>38</v>
      </c>
      <c r="D240" t="s">
        <v>31</v>
      </c>
      <c r="E240" t="s">
        <v>45</v>
      </c>
      <c r="F240" t="s">
        <v>24</v>
      </c>
      <c r="G240">
        <v>19</v>
      </c>
      <c r="H240">
        <v>3602</v>
      </c>
      <c r="I240">
        <v>68438</v>
      </c>
      <c r="J240">
        <v>241</v>
      </c>
      <c r="K240">
        <v>5</v>
      </c>
      <c r="L240" t="s">
        <v>22</v>
      </c>
      <c r="M240" t="str">
        <f t="shared" si="6"/>
        <v>Available</v>
      </c>
      <c r="N240">
        <f t="shared" si="7"/>
        <v>13687.6</v>
      </c>
    </row>
    <row r="241" spans="1:14" x14ac:dyDescent="0.3">
      <c r="A241" t="s">
        <v>281</v>
      </c>
      <c r="B241" s="1">
        <v>45971</v>
      </c>
      <c r="C241" t="s">
        <v>19</v>
      </c>
      <c r="D241" t="s">
        <v>51</v>
      </c>
      <c r="E241" t="s">
        <v>90</v>
      </c>
      <c r="F241" t="s">
        <v>29</v>
      </c>
      <c r="G241">
        <v>45</v>
      </c>
      <c r="H241">
        <v>1418</v>
      </c>
      <c r="I241">
        <v>63810</v>
      </c>
      <c r="J241">
        <v>32</v>
      </c>
      <c r="K241">
        <v>3</v>
      </c>
      <c r="L241" t="s">
        <v>22</v>
      </c>
      <c r="M241" t="str">
        <f t="shared" si="6"/>
        <v>Reorder</v>
      </c>
      <c r="N241">
        <f t="shared" si="7"/>
        <v>12762</v>
      </c>
    </row>
    <row r="242" spans="1:14" x14ac:dyDescent="0.3">
      <c r="A242" t="s">
        <v>282</v>
      </c>
      <c r="B242" s="1">
        <v>45900</v>
      </c>
      <c r="C242" t="s">
        <v>38</v>
      </c>
      <c r="D242" t="s">
        <v>27</v>
      </c>
      <c r="E242" t="s">
        <v>83</v>
      </c>
      <c r="F242" t="s">
        <v>16</v>
      </c>
      <c r="G242">
        <v>26</v>
      </c>
      <c r="H242">
        <v>4654</v>
      </c>
      <c r="I242">
        <v>121004</v>
      </c>
      <c r="J242">
        <v>108</v>
      </c>
      <c r="K242">
        <v>10</v>
      </c>
      <c r="L242" t="s">
        <v>17</v>
      </c>
      <c r="M242" t="str">
        <f t="shared" si="6"/>
        <v>Available</v>
      </c>
      <c r="N242">
        <f t="shared" si="7"/>
        <v>24200.800000000003</v>
      </c>
    </row>
    <row r="243" spans="1:14" x14ac:dyDescent="0.3">
      <c r="A243" t="s">
        <v>283</v>
      </c>
      <c r="B243" s="1">
        <v>45719</v>
      </c>
      <c r="C243" t="s">
        <v>38</v>
      </c>
      <c r="D243" t="s">
        <v>14</v>
      </c>
      <c r="E243" t="s">
        <v>20</v>
      </c>
      <c r="F243" t="s">
        <v>24</v>
      </c>
      <c r="G243">
        <v>1</v>
      </c>
      <c r="H243">
        <v>852</v>
      </c>
      <c r="I243">
        <v>852</v>
      </c>
      <c r="J243">
        <v>87</v>
      </c>
      <c r="K243">
        <v>6</v>
      </c>
      <c r="L243" t="s">
        <v>17</v>
      </c>
      <c r="M243" t="str">
        <f t="shared" si="6"/>
        <v>Available</v>
      </c>
      <c r="N243">
        <f t="shared" si="7"/>
        <v>170.4</v>
      </c>
    </row>
    <row r="244" spans="1:14" x14ac:dyDescent="0.3">
      <c r="A244" t="s">
        <v>284</v>
      </c>
      <c r="B244" s="1">
        <v>45992</v>
      </c>
      <c r="C244" t="s">
        <v>19</v>
      </c>
      <c r="D244" t="s">
        <v>31</v>
      </c>
      <c r="E244" t="s">
        <v>45</v>
      </c>
      <c r="F244" t="s">
        <v>16</v>
      </c>
      <c r="G244">
        <v>3</v>
      </c>
      <c r="H244">
        <v>3636</v>
      </c>
      <c r="I244">
        <v>10908</v>
      </c>
      <c r="J244">
        <v>106</v>
      </c>
      <c r="K244">
        <v>9</v>
      </c>
      <c r="L244" t="s">
        <v>17</v>
      </c>
      <c r="M244" t="str">
        <f t="shared" si="6"/>
        <v>Available</v>
      </c>
      <c r="N244">
        <f t="shared" si="7"/>
        <v>2181.6</v>
      </c>
    </row>
    <row r="245" spans="1:14" x14ac:dyDescent="0.3">
      <c r="A245" t="s">
        <v>285</v>
      </c>
      <c r="B245" s="1">
        <v>45843</v>
      </c>
      <c r="C245" t="s">
        <v>26</v>
      </c>
      <c r="D245" t="s">
        <v>27</v>
      </c>
      <c r="E245" t="s">
        <v>28</v>
      </c>
      <c r="F245" t="s">
        <v>16</v>
      </c>
      <c r="G245">
        <v>29</v>
      </c>
      <c r="H245">
        <v>3094</v>
      </c>
      <c r="I245">
        <v>89726</v>
      </c>
      <c r="J245">
        <v>242</v>
      </c>
      <c r="K245">
        <v>4</v>
      </c>
      <c r="L245" t="s">
        <v>22</v>
      </c>
      <c r="M245" t="str">
        <f t="shared" si="6"/>
        <v>Available</v>
      </c>
      <c r="N245">
        <f t="shared" si="7"/>
        <v>17945.2</v>
      </c>
    </row>
    <row r="246" spans="1:14" x14ac:dyDescent="0.3">
      <c r="A246" t="s">
        <v>286</v>
      </c>
      <c r="B246" s="1">
        <v>45990</v>
      </c>
      <c r="C246" t="s">
        <v>26</v>
      </c>
      <c r="D246" t="s">
        <v>51</v>
      </c>
      <c r="E246" t="s">
        <v>90</v>
      </c>
      <c r="F246" t="s">
        <v>24</v>
      </c>
      <c r="G246">
        <v>3</v>
      </c>
      <c r="H246">
        <v>3377</v>
      </c>
      <c r="I246">
        <v>10131</v>
      </c>
      <c r="J246">
        <v>34</v>
      </c>
      <c r="K246">
        <v>9</v>
      </c>
      <c r="L246" t="s">
        <v>17</v>
      </c>
      <c r="M246" t="str">
        <f t="shared" si="6"/>
        <v>Reorder</v>
      </c>
      <c r="N246">
        <f t="shared" si="7"/>
        <v>2026.2</v>
      </c>
    </row>
    <row r="247" spans="1:14" x14ac:dyDescent="0.3">
      <c r="A247" t="s">
        <v>287</v>
      </c>
      <c r="B247" s="1">
        <v>45969</v>
      </c>
      <c r="C247" t="s">
        <v>19</v>
      </c>
      <c r="D247" t="s">
        <v>51</v>
      </c>
      <c r="E247" t="s">
        <v>56</v>
      </c>
      <c r="F247" t="s">
        <v>29</v>
      </c>
      <c r="G247">
        <v>41</v>
      </c>
      <c r="H247">
        <v>3438</v>
      </c>
      <c r="I247">
        <v>140958</v>
      </c>
      <c r="J247">
        <v>200</v>
      </c>
      <c r="K247">
        <v>8</v>
      </c>
      <c r="L247" t="s">
        <v>17</v>
      </c>
      <c r="M247" t="str">
        <f t="shared" si="6"/>
        <v>Available</v>
      </c>
      <c r="N247">
        <f t="shared" si="7"/>
        <v>28191.600000000002</v>
      </c>
    </row>
    <row r="248" spans="1:14" x14ac:dyDescent="0.3">
      <c r="A248" t="s">
        <v>288</v>
      </c>
      <c r="B248" s="1">
        <v>45740</v>
      </c>
      <c r="C248" t="s">
        <v>26</v>
      </c>
      <c r="D248" t="s">
        <v>51</v>
      </c>
      <c r="E248" t="s">
        <v>90</v>
      </c>
      <c r="F248" t="s">
        <v>24</v>
      </c>
      <c r="G248">
        <v>40</v>
      </c>
      <c r="H248">
        <v>2944</v>
      </c>
      <c r="I248">
        <v>117760</v>
      </c>
      <c r="J248">
        <v>284</v>
      </c>
      <c r="K248">
        <v>10</v>
      </c>
      <c r="L248" t="s">
        <v>17</v>
      </c>
      <c r="M248" t="str">
        <f t="shared" si="6"/>
        <v>Available</v>
      </c>
      <c r="N248">
        <f t="shared" si="7"/>
        <v>23552</v>
      </c>
    </row>
    <row r="249" spans="1:14" x14ac:dyDescent="0.3">
      <c r="A249" t="s">
        <v>289</v>
      </c>
      <c r="B249" s="1">
        <v>45926</v>
      </c>
      <c r="C249" t="s">
        <v>19</v>
      </c>
      <c r="D249" t="s">
        <v>51</v>
      </c>
      <c r="E249" t="s">
        <v>52</v>
      </c>
      <c r="F249" t="s">
        <v>29</v>
      </c>
      <c r="G249">
        <v>8</v>
      </c>
      <c r="H249">
        <v>2975</v>
      </c>
      <c r="I249">
        <v>23800</v>
      </c>
      <c r="J249">
        <v>79</v>
      </c>
      <c r="K249">
        <v>3</v>
      </c>
      <c r="L249" t="s">
        <v>22</v>
      </c>
      <c r="M249" t="str">
        <f t="shared" si="6"/>
        <v>Available</v>
      </c>
      <c r="N249">
        <f t="shared" si="7"/>
        <v>4760</v>
      </c>
    </row>
    <row r="250" spans="1:14" x14ac:dyDescent="0.3">
      <c r="A250" t="s">
        <v>290</v>
      </c>
      <c r="B250" s="1">
        <v>45766</v>
      </c>
      <c r="C250" t="s">
        <v>13</v>
      </c>
      <c r="D250" t="s">
        <v>14</v>
      </c>
      <c r="E250" t="s">
        <v>20</v>
      </c>
      <c r="F250" t="s">
        <v>29</v>
      </c>
      <c r="G250">
        <v>48</v>
      </c>
      <c r="H250">
        <v>2232</v>
      </c>
      <c r="I250">
        <v>107136</v>
      </c>
      <c r="J250">
        <v>210</v>
      </c>
      <c r="K250">
        <v>4</v>
      </c>
      <c r="L250" t="s">
        <v>22</v>
      </c>
      <c r="M250" t="str">
        <f t="shared" si="6"/>
        <v>Available</v>
      </c>
      <c r="N250">
        <f t="shared" si="7"/>
        <v>21427.200000000001</v>
      </c>
    </row>
    <row r="251" spans="1:14" x14ac:dyDescent="0.3">
      <c r="A251" t="s">
        <v>291</v>
      </c>
      <c r="B251" s="1">
        <v>45999</v>
      </c>
      <c r="C251" t="s">
        <v>13</v>
      </c>
      <c r="D251" t="s">
        <v>27</v>
      </c>
      <c r="E251" t="s">
        <v>64</v>
      </c>
      <c r="F251" t="s">
        <v>21</v>
      </c>
      <c r="G251">
        <v>5</v>
      </c>
      <c r="H251">
        <v>3546</v>
      </c>
      <c r="I251">
        <v>17730</v>
      </c>
      <c r="J251">
        <v>176</v>
      </c>
      <c r="K251">
        <v>8</v>
      </c>
      <c r="L251" t="s">
        <v>17</v>
      </c>
      <c r="M251" t="str">
        <f t="shared" si="6"/>
        <v>Available</v>
      </c>
      <c r="N251">
        <f t="shared" si="7"/>
        <v>3546</v>
      </c>
    </row>
    <row r="252" spans="1:14" x14ac:dyDescent="0.3">
      <c r="A252" t="s">
        <v>292</v>
      </c>
      <c r="B252" s="1">
        <v>45792</v>
      </c>
      <c r="C252" t="s">
        <v>19</v>
      </c>
      <c r="D252" t="s">
        <v>31</v>
      </c>
      <c r="E252" t="s">
        <v>76</v>
      </c>
      <c r="F252" t="s">
        <v>16</v>
      </c>
      <c r="G252">
        <v>23</v>
      </c>
      <c r="H252">
        <v>3675</v>
      </c>
      <c r="I252">
        <v>84525</v>
      </c>
      <c r="J252">
        <v>69</v>
      </c>
      <c r="K252">
        <v>7</v>
      </c>
      <c r="L252" t="s">
        <v>17</v>
      </c>
      <c r="M252" t="str">
        <f t="shared" si="6"/>
        <v>Available</v>
      </c>
      <c r="N252">
        <f t="shared" si="7"/>
        <v>16905</v>
      </c>
    </row>
    <row r="253" spans="1:14" x14ac:dyDescent="0.3">
      <c r="A253" t="s">
        <v>293</v>
      </c>
      <c r="B253" s="1">
        <v>45692</v>
      </c>
      <c r="C253" t="s">
        <v>19</v>
      </c>
      <c r="D253" t="s">
        <v>51</v>
      </c>
      <c r="E253" t="s">
        <v>52</v>
      </c>
      <c r="F253" t="s">
        <v>16</v>
      </c>
      <c r="G253">
        <v>22</v>
      </c>
      <c r="H253">
        <v>3145</v>
      </c>
      <c r="I253">
        <v>69190</v>
      </c>
      <c r="J253">
        <v>136</v>
      </c>
      <c r="K253">
        <v>2</v>
      </c>
      <c r="L253" t="s">
        <v>22</v>
      </c>
      <c r="M253" t="str">
        <f t="shared" si="6"/>
        <v>Available</v>
      </c>
      <c r="N253">
        <f t="shared" si="7"/>
        <v>13838</v>
      </c>
    </row>
    <row r="254" spans="1:14" x14ac:dyDescent="0.3">
      <c r="A254" t="s">
        <v>294</v>
      </c>
      <c r="B254" s="1">
        <v>45960</v>
      </c>
      <c r="C254" t="s">
        <v>19</v>
      </c>
      <c r="D254" t="s">
        <v>14</v>
      </c>
      <c r="E254" t="s">
        <v>42</v>
      </c>
      <c r="F254" t="s">
        <v>21</v>
      </c>
      <c r="G254">
        <v>49</v>
      </c>
      <c r="H254">
        <v>3629</v>
      </c>
      <c r="I254">
        <v>177821</v>
      </c>
      <c r="J254">
        <v>251</v>
      </c>
      <c r="K254">
        <v>10</v>
      </c>
      <c r="L254" t="s">
        <v>17</v>
      </c>
      <c r="M254" t="str">
        <f t="shared" si="6"/>
        <v>Available</v>
      </c>
      <c r="N254">
        <f t="shared" si="7"/>
        <v>35564.200000000004</v>
      </c>
    </row>
    <row r="255" spans="1:14" x14ac:dyDescent="0.3">
      <c r="A255" t="s">
        <v>295</v>
      </c>
      <c r="B255" s="1">
        <v>45681</v>
      </c>
      <c r="C255" t="s">
        <v>19</v>
      </c>
      <c r="D255" t="s">
        <v>31</v>
      </c>
      <c r="E255" t="s">
        <v>40</v>
      </c>
      <c r="F255" t="s">
        <v>24</v>
      </c>
      <c r="G255">
        <v>18</v>
      </c>
      <c r="H255">
        <v>2350</v>
      </c>
      <c r="I255">
        <v>42300</v>
      </c>
      <c r="J255">
        <v>39</v>
      </c>
      <c r="K255">
        <v>8</v>
      </c>
      <c r="L255" t="s">
        <v>17</v>
      </c>
      <c r="M255" t="str">
        <f t="shared" si="6"/>
        <v>Reorder</v>
      </c>
      <c r="N255">
        <f t="shared" si="7"/>
        <v>8460</v>
      </c>
    </row>
    <row r="256" spans="1:14" x14ac:dyDescent="0.3">
      <c r="A256" t="s">
        <v>296</v>
      </c>
      <c r="B256" s="1">
        <v>45964</v>
      </c>
      <c r="C256" t="s">
        <v>26</v>
      </c>
      <c r="D256" t="s">
        <v>14</v>
      </c>
      <c r="E256" t="s">
        <v>58</v>
      </c>
      <c r="F256" t="s">
        <v>29</v>
      </c>
      <c r="G256">
        <v>37</v>
      </c>
      <c r="H256">
        <v>3634</v>
      </c>
      <c r="I256">
        <v>134458</v>
      </c>
      <c r="J256">
        <v>260</v>
      </c>
      <c r="K256">
        <v>7</v>
      </c>
      <c r="L256" t="s">
        <v>17</v>
      </c>
      <c r="M256" t="str">
        <f t="shared" si="6"/>
        <v>Available</v>
      </c>
      <c r="N256">
        <f t="shared" si="7"/>
        <v>26891.600000000002</v>
      </c>
    </row>
    <row r="257" spans="1:14" x14ac:dyDescent="0.3">
      <c r="A257" t="s">
        <v>297</v>
      </c>
      <c r="B257" s="1">
        <v>46010</v>
      </c>
      <c r="C257" t="s">
        <v>13</v>
      </c>
      <c r="D257" t="s">
        <v>14</v>
      </c>
      <c r="E257" t="s">
        <v>15</v>
      </c>
      <c r="F257" t="s">
        <v>24</v>
      </c>
      <c r="G257">
        <v>40</v>
      </c>
      <c r="H257">
        <v>811</v>
      </c>
      <c r="I257">
        <v>32440</v>
      </c>
      <c r="J257">
        <v>142</v>
      </c>
      <c r="K257">
        <v>9</v>
      </c>
      <c r="L257" t="s">
        <v>17</v>
      </c>
      <c r="M257" t="str">
        <f t="shared" si="6"/>
        <v>Available</v>
      </c>
      <c r="N257">
        <f t="shared" si="7"/>
        <v>6488</v>
      </c>
    </row>
    <row r="258" spans="1:14" x14ac:dyDescent="0.3">
      <c r="A258" t="s">
        <v>298</v>
      </c>
      <c r="B258" s="1">
        <v>45742</v>
      </c>
      <c r="C258" t="s">
        <v>26</v>
      </c>
      <c r="D258" t="s">
        <v>14</v>
      </c>
      <c r="E258" t="s">
        <v>20</v>
      </c>
      <c r="F258" t="s">
        <v>24</v>
      </c>
      <c r="G258">
        <v>42</v>
      </c>
      <c r="H258">
        <v>2088</v>
      </c>
      <c r="I258">
        <v>87696</v>
      </c>
      <c r="J258">
        <v>64</v>
      </c>
      <c r="K258">
        <v>8</v>
      </c>
      <c r="L258" t="s">
        <v>17</v>
      </c>
      <c r="M258" t="str">
        <f t="shared" si="6"/>
        <v>Available</v>
      </c>
      <c r="N258">
        <f t="shared" si="7"/>
        <v>17539.2</v>
      </c>
    </row>
    <row r="259" spans="1:14" x14ac:dyDescent="0.3">
      <c r="A259" t="s">
        <v>299</v>
      </c>
      <c r="B259" s="1">
        <v>45913</v>
      </c>
      <c r="C259" t="s">
        <v>38</v>
      </c>
      <c r="D259" t="s">
        <v>14</v>
      </c>
      <c r="E259" t="s">
        <v>15</v>
      </c>
      <c r="F259" t="s">
        <v>21</v>
      </c>
      <c r="G259">
        <v>3</v>
      </c>
      <c r="H259">
        <v>4604</v>
      </c>
      <c r="I259">
        <v>13812</v>
      </c>
      <c r="J259">
        <v>20</v>
      </c>
      <c r="K259">
        <v>5</v>
      </c>
      <c r="L259" t="s">
        <v>22</v>
      </c>
      <c r="M259" t="str">
        <f t="shared" ref="M259:M322" si="8">IF(J259&lt;50,"Reorder","Available")</f>
        <v>Reorder</v>
      </c>
      <c r="N259">
        <f t="shared" ref="N259:N322" si="9">I259*20%</f>
        <v>2762.4</v>
      </c>
    </row>
    <row r="260" spans="1:14" x14ac:dyDescent="0.3">
      <c r="A260" t="s">
        <v>300</v>
      </c>
      <c r="B260" s="1">
        <v>45826</v>
      </c>
      <c r="C260" t="s">
        <v>19</v>
      </c>
      <c r="D260" t="s">
        <v>27</v>
      </c>
      <c r="E260" t="s">
        <v>83</v>
      </c>
      <c r="F260" t="s">
        <v>16</v>
      </c>
      <c r="G260">
        <v>41</v>
      </c>
      <c r="H260">
        <v>4591</v>
      </c>
      <c r="I260">
        <v>188231</v>
      </c>
      <c r="J260">
        <v>253</v>
      </c>
      <c r="K260">
        <v>2</v>
      </c>
      <c r="L260" t="s">
        <v>22</v>
      </c>
      <c r="M260" t="str">
        <f t="shared" si="8"/>
        <v>Available</v>
      </c>
      <c r="N260">
        <f t="shared" si="9"/>
        <v>37646.200000000004</v>
      </c>
    </row>
    <row r="261" spans="1:14" x14ac:dyDescent="0.3">
      <c r="A261" t="s">
        <v>301</v>
      </c>
      <c r="B261" s="1">
        <v>45793</v>
      </c>
      <c r="C261" t="s">
        <v>38</v>
      </c>
      <c r="D261" t="s">
        <v>31</v>
      </c>
      <c r="E261" t="s">
        <v>76</v>
      </c>
      <c r="F261" t="s">
        <v>21</v>
      </c>
      <c r="G261">
        <v>20</v>
      </c>
      <c r="H261">
        <v>1492</v>
      </c>
      <c r="I261">
        <v>29840</v>
      </c>
      <c r="J261">
        <v>153</v>
      </c>
      <c r="K261">
        <v>7</v>
      </c>
      <c r="L261" t="s">
        <v>17</v>
      </c>
      <c r="M261" t="str">
        <f t="shared" si="8"/>
        <v>Available</v>
      </c>
      <c r="N261">
        <f t="shared" si="9"/>
        <v>5968</v>
      </c>
    </row>
    <row r="262" spans="1:14" x14ac:dyDescent="0.3">
      <c r="A262" t="s">
        <v>302</v>
      </c>
      <c r="B262" s="1">
        <v>45942</v>
      </c>
      <c r="C262" t="s">
        <v>26</v>
      </c>
      <c r="D262" t="s">
        <v>31</v>
      </c>
      <c r="E262" t="s">
        <v>76</v>
      </c>
      <c r="F262" t="s">
        <v>29</v>
      </c>
      <c r="G262">
        <v>44</v>
      </c>
      <c r="H262">
        <v>1393</v>
      </c>
      <c r="I262">
        <v>61292</v>
      </c>
      <c r="J262">
        <v>181</v>
      </c>
      <c r="K262">
        <v>5</v>
      </c>
      <c r="L262" t="s">
        <v>22</v>
      </c>
      <c r="M262" t="str">
        <f t="shared" si="8"/>
        <v>Available</v>
      </c>
      <c r="N262">
        <f t="shared" si="9"/>
        <v>12258.400000000001</v>
      </c>
    </row>
    <row r="263" spans="1:14" x14ac:dyDescent="0.3">
      <c r="A263" t="s">
        <v>303</v>
      </c>
      <c r="B263" s="1">
        <v>45829</v>
      </c>
      <c r="C263" t="s">
        <v>13</v>
      </c>
      <c r="D263" t="s">
        <v>31</v>
      </c>
      <c r="E263" t="s">
        <v>40</v>
      </c>
      <c r="F263" t="s">
        <v>24</v>
      </c>
      <c r="G263">
        <v>28</v>
      </c>
      <c r="H263">
        <v>3928</v>
      </c>
      <c r="I263">
        <v>109984</v>
      </c>
      <c r="J263">
        <v>79</v>
      </c>
      <c r="K263">
        <v>6</v>
      </c>
      <c r="L263" t="s">
        <v>17</v>
      </c>
      <c r="M263" t="str">
        <f t="shared" si="8"/>
        <v>Available</v>
      </c>
      <c r="N263">
        <f t="shared" si="9"/>
        <v>21996.800000000003</v>
      </c>
    </row>
    <row r="264" spans="1:14" x14ac:dyDescent="0.3">
      <c r="A264" t="s">
        <v>304</v>
      </c>
      <c r="B264" s="1">
        <v>45976</v>
      </c>
      <c r="C264" t="s">
        <v>13</v>
      </c>
      <c r="D264" t="s">
        <v>14</v>
      </c>
      <c r="E264" t="s">
        <v>20</v>
      </c>
      <c r="F264" t="s">
        <v>21</v>
      </c>
      <c r="G264">
        <v>40</v>
      </c>
      <c r="H264">
        <v>4115</v>
      </c>
      <c r="I264">
        <v>164600</v>
      </c>
      <c r="J264">
        <v>38</v>
      </c>
      <c r="K264">
        <v>4</v>
      </c>
      <c r="L264" t="s">
        <v>22</v>
      </c>
      <c r="M264" t="str">
        <f t="shared" si="8"/>
        <v>Reorder</v>
      </c>
      <c r="N264">
        <f t="shared" si="9"/>
        <v>32920</v>
      </c>
    </row>
    <row r="265" spans="1:14" x14ac:dyDescent="0.3">
      <c r="A265" t="s">
        <v>305</v>
      </c>
      <c r="B265" s="1">
        <v>45889</v>
      </c>
      <c r="C265" t="s">
        <v>26</v>
      </c>
      <c r="D265" t="s">
        <v>51</v>
      </c>
      <c r="E265" t="s">
        <v>52</v>
      </c>
      <c r="F265" t="s">
        <v>21</v>
      </c>
      <c r="G265">
        <v>35</v>
      </c>
      <c r="H265">
        <v>1952</v>
      </c>
      <c r="I265">
        <v>68320</v>
      </c>
      <c r="J265">
        <v>270</v>
      </c>
      <c r="K265">
        <v>10</v>
      </c>
      <c r="L265" t="s">
        <v>17</v>
      </c>
      <c r="M265" t="str">
        <f t="shared" si="8"/>
        <v>Available</v>
      </c>
      <c r="N265">
        <f t="shared" si="9"/>
        <v>13664</v>
      </c>
    </row>
    <row r="266" spans="1:14" x14ac:dyDescent="0.3">
      <c r="A266" t="s">
        <v>306</v>
      </c>
      <c r="B266" s="1">
        <v>46005</v>
      </c>
      <c r="C266" t="s">
        <v>38</v>
      </c>
      <c r="D266" t="s">
        <v>51</v>
      </c>
      <c r="E266" t="s">
        <v>90</v>
      </c>
      <c r="F266" t="s">
        <v>29</v>
      </c>
      <c r="G266">
        <v>45</v>
      </c>
      <c r="H266">
        <v>3229</v>
      </c>
      <c r="I266">
        <v>145305</v>
      </c>
      <c r="J266">
        <v>177</v>
      </c>
      <c r="K266">
        <v>6</v>
      </c>
      <c r="L266" t="s">
        <v>17</v>
      </c>
      <c r="M266" t="str">
        <f t="shared" si="8"/>
        <v>Available</v>
      </c>
      <c r="N266">
        <f t="shared" si="9"/>
        <v>29061</v>
      </c>
    </row>
    <row r="267" spans="1:14" x14ac:dyDescent="0.3">
      <c r="A267" t="s">
        <v>307</v>
      </c>
      <c r="B267" s="1">
        <v>45659</v>
      </c>
      <c r="C267" t="s">
        <v>26</v>
      </c>
      <c r="D267" t="s">
        <v>27</v>
      </c>
      <c r="E267" t="s">
        <v>28</v>
      </c>
      <c r="F267" t="s">
        <v>29</v>
      </c>
      <c r="G267">
        <v>9</v>
      </c>
      <c r="H267">
        <v>3365</v>
      </c>
      <c r="I267">
        <v>30285</v>
      </c>
      <c r="J267">
        <v>84</v>
      </c>
      <c r="K267">
        <v>4</v>
      </c>
      <c r="L267" t="s">
        <v>22</v>
      </c>
      <c r="M267" t="str">
        <f t="shared" si="8"/>
        <v>Available</v>
      </c>
      <c r="N267">
        <f t="shared" si="9"/>
        <v>6057</v>
      </c>
    </row>
    <row r="268" spans="1:14" x14ac:dyDescent="0.3">
      <c r="A268" t="s">
        <v>308</v>
      </c>
      <c r="B268" s="1">
        <v>45981</v>
      </c>
      <c r="C268" t="s">
        <v>19</v>
      </c>
      <c r="D268" t="s">
        <v>14</v>
      </c>
      <c r="E268" t="s">
        <v>15</v>
      </c>
      <c r="F268" t="s">
        <v>29</v>
      </c>
      <c r="G268">
        <v>15</v>
      </c>
      <c r="H268">
        <v>4629</v>
      </c>
      <c r="I268">
        <v>69435</v>
      </c>
      <c r="J268">
        <v>99</v>
      </c>
      <c r="K268">
        <v>5</v>
      </c>
      <c r="L268" t="s">
        <v>22</v>
      </c>
      <c r="M268" t="str">
        <f t="shared" si="8"/>
        <v>Available</v>
      </c>
      <c r="N268">
        <f t="shared" si="9"/>
        <v>13887</v>
      </c>
    </row>
    <row r="269" spans="1:14" x14ac:dyDescent="0.3">
      <c r="A269" t="s">
        <v>309</v>
      </c>
      <c r="B269" s="1">
        <v>45892</v>
      </c>
      <c r="C269" t="s">
        <v>19</v>
      </c>
      <c r="D269" t="s">
        <v>51</v>
      </c>
      <c r="E269" t="s">
        <v>90</v>
      </c>
      <c r="F269" t="s">
        <v>21</v>
      </c>
      <c r="G269">
        <v>11</v>
      </c>
      <c r="H269">
        <v>2040</v>
      </c>
      <c r="I269">
        <v>22440</v>
      </c>
      <c r="J269">
        <v>135</v>
      </c>
      <c r="K269">
        <v>7</v>
      </c>
      <c r="L269" t="s">
        <v>17</v>
      </c>
      <c r="M269" t="str">
        <f t="shared" si="8"/>
        <v>Available</v>
      </c>
      <c r="N269">
        <f t="shared" si="9"/>
        <v>4488</v>
      </c>
    </row>
    <row r="270" spans="1:14" x14ac:dyDescent="0.3">
      <c r="A270" t="s">
        <v>310</v>
      </c>
      <c r="B270" s="1">
        <v>45829</v>
      </c>
      <c r="C270" t="s">
        <v>13</v>
      </c>
      <c r="D270" t="s">
        <v>51</v>
      </c>
      <c r="E270" t="s">
        <v>56</v>
      </c>
      <c r="F270" t="s">
        <v>29</v>
      </c>
      <c r="G270">
        <v>34</v>
      </c>
      <c r="H270">
        <v>2791</v>
      </c>
      <c r="I270">
        <v>94894</v>
      </c>
      <c r="J270">
        <v>252</v>
      </c>
      <c r="K270">
        <v>3</v>
      </c>
      <c r="L270" t="s">
        <v>22</v>
      </c>
      <c r="M270" t="str">
        <f t="shared" si="8"/>
        <v>Available</v>
      </c>
      <c r="N270">
        <f t="shared" si="9"/>
        <v>18978.8</v>
      </c>
    </row>
    <row r="271" spans="1:14" x14ac:dyDescent="0.3">
      <c r="A271" t="s">
        <v>311</v>
      </c>
      <c r="B271" s="1">
        <v>45957</v>
      </c>
      <c r="C271" t="s">
        <v>26</v>
      </c>
      <c r="D271" t="s">
        <v>51</v>
      </c>
      <c r="E271" t="s">
        <v>52</v>
      </c>
      <c r="F271" t="s">
        <v>24</v>
      </c>
      <c r="G271">
        <v>11</v>
      </c>
      <c r="H271">
        <v>2688</v>
      </c>
      <c r="I271">
        <v>29568</v>
      </c>
      <c r="J271">
        <v>239</v>
      </c>
      <c r="K271">
        <v>9</v>
      </c>
      <c r="L271" t="s">
        <v>17</v>
      </c>
      <c r="M271" t="str">
        <f t="shared" si="8"/>
        <v>Available</v>
      </c>
      <c r="N271">
        <f t="shared" si="9"/>
        <v>5913.6</v>
      </c>
    </row>
    <row r="272" spans="1:14" x14ac:dyDescent="0.3">
      <c r="A272" t="s">
        <v>312</v>
      </c>
      <c r="B272" s="1">
        <v>45757</v>
      </c>
      <c r="C272" t="s">
        <v>19</v>
      </c>
      <c r="D272" t="s">
        <v>14</v>
      </c>
      <c r="E272" t="s">
        <v>20</v>
      </c>
      <c r="F272" t="s">
        <v>21</v>
      </c>
      <c r="G272">
        <v>37</v>
      </c>
      <c r="H272">
        <v>1087</v>
      </c>
      <c r="I272">
        <v>40219</v>
      </c>
      <c r="J272">
        <v>206</v>
      </c>
      <c r="K272">
        <v>5</v>
      </c>
      <c r="L272" t="s">
        <v>22</v>
      </c>
      <c r="M272" t="str">
        <f t="shared" si="8"/>
        <v>Available</v>
      </c>
      <c r="N272">
        <f t="shared" si="9"/>
        <v>8043.8</v>
      </c>
    </row>
    <row r="273" spans="1:14" x14ac:dyDescent="0.3">
      <c r="A273" t="s">
        <v>313</v>
      </c>
      <c r="B273" s="1">
        <v>45686</v>
      </c>
      <c r="C273" t="s">
        <v>26</v>
      </c>
      <c r="D273" t="s">
        <v>31</v>
      </c>
      <c r="E273" t="s">
        <v>76</v>
      </c>
      <c r="F273" t="s">
        <v>24</v>
      </c>
      <c r="G273">
        <v>49</v>
      </c>
      <c r="H273">
        <v>2126</v>
      </c>
      <c r="I273">
        <v>104174</v>
      </c>
      <c r="J273">
        <v>240</v>
      </c>
      <c r="K273">
        <v>5</v>
      </c>
      <c r="L273" t="s">
        <v>22</v>
      </c>
      <c r="M273" t="str">
        <f t="shared" si="8"/>
        <v>Available</v>
      </c>
      <c r="N273">
        <f t="shared" si="9"/>
        <v>20834.800000000003</v>
      </c>
    </row>
    <row r="274" spans="1:14" x14ac:dyDescent="0.3">
      <c r="A274" t="s">
        <v>314</v>
      </c>
      <c r="B274" s="1">
        <v>45999</v>
      </c>
      <c r="C274" t="s">
        <v>19</v>
      </c>
      <c r="D274" t="s">
        <v>27</v>
      </c>
      <c r="E274" t="s">
        <v>34</v>
      </c>
      <c r="F274" t="s">
        <v>29</v>
      </c>
      <c r="G274">
        <v>10</v>
      </c>
      <c r="H274">
        <v>674</v>
      </c>
      <c r="I274">
        <v>6740</v>
      </c>
      <c r="J274">
        <v>197</v>
      </c>
      <c r="K274">
        <v>6</v>
      </c>
      <c r="L274" t="s">
        <v>17</v>
      </c>
      <c r="M274" t="str">
        <f t="shared" si="8"/>
        <v>Available</v>
      </c>
      <c r="N274">
        <f t="shared" si="9"/>
        <v>1348</v>
      </c>
    </row>
    <row r="275" spans="1:14" x14ac:dyDescent="0.3">
      <c r="A275" t="s">
        <v>315</v>
      </c>
      <c r="B275" s="1">
        <v>45924</v>
      </c>
      <c r="C275" t="s">
        <v>26</v>
      </c>
      <c r="D275" t="s">
        <v>14</v>
      </c>
      <c r="E275" t="s">
        <v>42</v>
      </c>
      <c r="F275" t="s">
        <v>21</v>
      </c>
      <c r="G275">
        <v>34</v>
      </c>
      <c r="H275">
        <v>606</v>
      </c>
      <c r="I275">
        <v>20604</v>
      </c>
      <c r="J275">
        <v>267</v>
      </c>
      <c r="K275">
        <v>4</v>
      </c>
      <c r="L275" t="s">
        <v>22</v>
      </c>
      <c r="M275" t="str">
        <f t="shared" si="8"/>
        <v>Available</v>
      </c>
      <c r="N275">
        <f t="shared" si="9"/>
        <v>4120.8</v>
      </c>
    </row>
    <row r="276" spans="1:14" x14ac:dyDescent="0.3">
      <c r="A276" t="s">
        <v>316</v>
      </c>
      <c r="B276" s="1">
        <v>45778</v>
      </c>
      <c r="C276" t="s">
        <v>19</v>
      </c>
      <c r="D276" t="s">
        <v>27</v>
      </c>
      <c r="E276" t="s">
        <v>34</v>
      </c>
      <c r="F276" t="s">
        <v>24</v>
      </c>
      <c r="G276">
        <v>22</v>
      </c>
      <c r="H276">
        <v>714</v>
      </c>
      <c r="I276">
        <v>15708</v>
      </c>
      <c r="J276">
        <v>190</v>
      </c>
      <c r="K276">
        <v>2</v>
      </c>
      <c r="L276" t="s">
        <v>22</v>
      </c>
      <c r="M276" t="str">
        <f t="shared" si="8"/>
        <v>Available</v>
      </c>
      <c r="N276">
        <f t="shared" si="9"/>
        <v>3141.6000000000004</v>
      </c>
    </row>
    <row r="277" spans="1:14" x14ac:dyDescent="0.3">
      <c r="A277" t="s">
        <v>317</v>
      </c>
      <c r="B277" s="1">
        <v>45733</v>
      </c>
      <c r="C277" t="s">
        <v>13</v>
      </c>
      <c r="D277" t="s">
        <v>14</v>
      </c>
      <c r="E277" t="s">
        <v>20</v>
      </c>
      <c r="F277" t="s">
        <v>24</v>
      </c>
      <c r="G277">
        <v>28</v>
      </c>
      <c r="H277">
        <v>1401</v>
      </c>
      <c r="I277">
        <v>39228</v>
      </c>
      <c r="J277">
        <v>83</v>
      </c>
      <c r="K277">
        <v>4</v>
      </c>
      <c r="L277" t="s">
        <v>22</v>
      </c>
      <c r="M277" t="str">
        <f t="shared" si="8"/>
        <v>Available</v>
      </c>
      <c r="N277">
        <f t="shared" si="9"/>
        <v>7845.6</v>
      </c>
    </row>
    <row r="278" spans="1:14" x14ac:dyDescent="0.3">
      <c r="A278" t="s">
        <v>318</v>
      </c>
      <c r="B278" s="1">
        <v>45881</v>
      </c>
      <c r="C278" t="s">
        <v>26</v>
      </c>
      <c r="D278" t="s">
        <v>31</v>
      </c>
      <c r="E278" t="s">
        <v>45</v>
      </c>
      <c r="F278" t="s">
        <v>29</v>
      </c>
      <c r="G278">
        <v>17</v>
      </c>
      <c r="H278">
        <v>4075</v>
      </c>
      <c r="I278">
        <v>69275</v>
      </c>
      <c r="J278">
        <v>279</v>
      </c>
      <c r="K278">
        <v>2</v>
      </c>
      <c r="L278" t="s">
        <v>22</v>
      </c>
      <c r="M278" t="str">
        <f t="shared" si="8"/>
        <v>Available</v>
      </c>
      <c r="N278">
        <f t="shared" si="9"/>
        <v>13855</v>
      </c>
    </row>
    <row r="279" spans="1:14" x14ac:dyDescent="0.3">
      <c r="A279" t="s">
        <v>319</v>
      </c>
      <c r="B279" s="1">
        <v>45898</v>
      </c>
      <c r="C279" t="s">
        <v>13</v>
      </c>
      <c r="D279" t="s">
        <v>27</v>
      </c>
      <c r="E279" t="s">
        <v>64</v>
      </c>
      <c r="F279" t="s">
        <v>16</v>
      </c>
      <c r="G279">
        <v>13</v>
      </c>
      <c r="H279">
        <v>583</v>
      </c>
      <c r="I279">
        <v>7579</v>
      </c>
      <c r="J279">
        <v>180</v>
      </c>
      <c r="K279">
        <v>9</v>
      </c>
      <c r="L279" t="s">
        <v>17</v>
      </c>
      <c r="M279" t="str">
        <f t="shared" si="8"/>
        <v>Available</v>
      </c>
      <c r="N279">
        <f t="shared" si="9"/>
        <v>1515.8000000000002</v>
      </c>
    </row>
    <row r="280" spans="1:14" x14ac:dyDescent="0.3">
      <c r="A280" t="s">
        <v>320</v>
      </c>
      <c r="B280" s="1">
        <v>45706</v>
      </c>
      <c r="C280" t="s">
        <v>38</v>
      </c>
      <c r="D280" t="s">
        <v>27</v>
      </c>
      <c r="E280" t="s">
        <v>83</v>
      </c>
      <c r="F280" t="s">
        <v>24</v>
      </c>
      <c r="G280">
        <v>21</v>
      </c>
      <c r="H280">
        <v>4563</v>
      </c>
      <c r="I280">
        <v>95823</v>
      </c>
      <c r="J280">
        <v>167</v>
      </c>
      <c r="K280">
        <v>5</v>
      </c>
      <c r="L280" t="s">
        <v>22</v>
      </c>
      <c r="M280" t="str">
        <f t="shared" si="8"/>
        <v>Available</v>
      </c>
      <c r="N280">
        <f t="shared" si="9"/>
        <v>19164.600000000002</v>
      </c>
    </row>
    <row r="281" spans="1:14" x14ac:dyDescent="0.3">
      <c r="A281" t="s">
        <v>321</v>
      </c>
      <c r="B281" s="1">
        <v>45689</v>
      </c>
      <c r="C281" t="s">
        <v>19</v>
      </c>
      <c r="D281" t="s">
        <v>14</v>
      </c>
      <c r="E281" t="s">
        <v>58</v>
      </c>
      <c r="F281" t="s">
        <v>21</v>
      </c>
      <c r="G281">
        <v>32</v>
      </c>
      <c r="H281">
        <v>771</v>
      </c>
      <c r="I281">
        <v>24672</v>
      </c>
      <c r="J281">
        <v>275</v>
      </c>
      <c r="K281">
        <v>2</v>
      </c>
      <c r="L281" t="s">
        <v>22</v>
      </c>
      <c r="M281" t="str">
        <f t="shared" si="8"/>
        <v>Available</v>
      </c>
      <c r="N281">
        <f t="shared" si="9"/>
        <v>4934.4000000000005</v>
      </c>
    </row>
    <row r="282" spans="1:14" x14ac:dyDescent="0.3">
      <c r="A282" t="s">
        <v>322</v>
      </c>
      <c r="B282" s="1">
        <v>45963</v>
      </c>
      <c r="C282" t="s">
        <v>13</v>
      </c>
      <c r="D282" t="s">
        <v>14</v>
      </c>
      <c r="E282" t="s">
        <v>20</v>
      </c>
      <c r="F282" t="s">
        <v>21</v>
      </c>
      <c r="G282">
        <v>39</v>
      </c>
      <c r="H282">
        <v>4021</v>
      </c>
      <c r="I282">
        <v>156819</v>
      </c>
      <c r="J282">
        <v>290</v>
      </c>
      <c r="K282">
        <v>10</v>
      </c>
      <c r="L282" t="s">
        <v>17</v>
      </c>
      <c r="M282" t="str">
        <f t="shared" si="8"/>
        <v>Available</v>
      </c>
      <c r="N282">
        <f t="shared" si="9"/>
        <v>31363.800000000003</v>
      </c>
    </row>
    <row r="283" spans="1:14" x14ac:dyDescent="0.3">
      <c r="A283" t="s">
        <v>323</v>
      </c>
      <c r="B283" s="1">
        <v>45789</v>
      </c>
      <c r="C283" t="s">
        <v>38</v>
      </c>
      <c r="D283" t="s">
        <v>31</v>
      </c>
      <c r="E283" t="s">
        <v>32</v>
      </c>
      <c r="F283" t="s">
        <v>16</v>
      </c>
      <c r="G283">
        <v>14</v>
      </c>
      <c r="H283">
        <v>3224</v>
      </c>
      <c r="I283">
        <v>45136</v>
      </c>
      <c r="J283">
        <v>238</v>
      </c>
      <c r="K283">
        <v>7</v>
      </c>
      <c r="L283" t="s">
        <v>17</v>
      </c>
      <c r="M283" t="str">
        <f t="shared" si="8"/>
        <v>Available</v>
      </c>
      <c r="N283">
        <f t="shared" si="9"/>
        <v>9027.2000000000007</v>
      </c>
    </row>
    <row r="284" spans="1:14" x14ac:dyDescent="0.3">
      <c r="A284" t="s">
        <v>324</v>
      </c>
      <c r="B284" s="1">
        <v>45998</v>
      </c>
      <c r="C284" t="s">
        <v>13</v>
      </c>
      <c r="D284" t="s">
        <v>27</v>
      </c>
      <c r="E284" t="s">
        <v>64</v>
      </c>
      <c r="F284" t="s">
        <v>16</v>
      </c>
      <c r="G284">
        <v>49</v>
      </c>
      <c r="H284">
        <v>2495</v>
      </c>
      <c r="I284">
        <v>122255</v>
      </c>
      <c r="J284">
        <v>173</v>
      </c>
      <c r="K284">
        <v>5</v>
      </c>
      <c r="L284" t="s">
        <v>22</v>
      </c>
      <c r="M284" t="str">
        <f t="shared" si="8"/>
        <v>Available</v>
      </c>
      <c r="N284">
        <f t="shared" si="9"/>
        <v>24451</v>
      </c>
    </row>
    <row r="285" spans="1:14" x14ac:dyDescent="0.3">
      <c r="A285" t="s">
        <v>325</v>
      </c>
      <c r="B285" s="1">
        <v>45668</v>
      </c>
      <c r="C285" t="s">
        <v>19</v>
      </c>
      <c r="D285" t="s">
        <v>14</v>
      </c>
      <c r="E285" t="s">
        <v>20</v>
      </c>
      <c r="F285" t="s">
        <v>24</v>
      </c>
      <c r="G285">
        <v>17</v>
      </c>
      <c r="H285">
        <v>3574</v>
      </c>
      <c r="I285">
        <v>60758</v>
      </c>
      <c r="J285">
        <v>73</v>
      </c>
      <c r="K285">
        <v>5</v>
      </c>
      <c r="L285" t="s">
        <v>22</v>
      </c>
      <c r="M285" t="str">
        <f t="shared" si="8"/>
        <v>Available</v>
      </c>
      <c r="N285">
        <f t="shared" si="9"/>
        <v>12151.6</v>
      </c>
    </row>
    <row r="286" spans="1:14" x14ac:dyDescent="0.3">
      <c r="A286" t="s">
        <v>326</v>
      </c>
      <c r="B286" s="1">
        <v>45943</v>
      </c>
      <c r="C286" t="s">
        <v>38</v>
      </c>
      <c r="D286" t="s">
        <v>51</v>
      </c>
      <c r="E286" t="s">
        <v>90</v>
      </c>
      <c r="F286" t="s">
        <v>24</v>
      </c>
      <c r="G286">
        <v>15</v>
      </c>
      <c r="H286">
        <v>3627</v>
      </c>
      <c r="I286">
        <v>54405</v>
      </c>
      <c r="J286">
        <v>296</v>
      </c>
      <c r="K286">
        <v>10</v>
      </c>
      <c r="L286" t="s">
        <v>17</v>
      </c>
      <c r="M286" t="str">
        <f t="shared" si="8"/>
        <v>Available</v>
      </c>
      <c r="N286">
        <f t="shared" si="9"/>
        <v>10881</v>
      </c>
    </row>
    <row r="287" spans="1:14" x14ac:dyDescent="0.3">
      <c r="A287" t="s">
        <v>327</v>
      </c>
      <c r="B287" s="1">
        <v>45901</v>
      </c>
      <c r="C287" t="s">
        <v>13</v>
      </c>
      <c r="D287" t="s">
        <v>31</v>
      </c>
      <c r="E287" t="s">
        <v>32</v>
      </c>
      <c r="F287" t="s">
        <v>21</v>
      </c>
      <c r="G287">
        <v>10</v>
      </c>
      <c r="H287">
        <v>2180</v>
      </c>
      <c r="I287">
        <v>21800</v>
      </c>
      <c r="J287">
        <v>221</v>
      </c>
      <c r="K287">
        <v>7</v>
      </c>
      <c r="L287" t="s">
        <v>17</v>
      </c>
      <c r="M287" t="str">
        <f t="shared" si="8"/>
        <v>Available</v>
      </c>
      <c r="N287">
        <f t="shared" si="9"/>
        <v>4360</v>
      </c>
    </row>
    <row r="288" spans="1:14" x14ac:dyDescent="0.3">
      <c r="A288" t="s">
        <v>328</v>
      </c>
      <c r="B288" s="1">
        <v>45698</v>
      </c>
      <c r="C288" t="s">
        <v>38</v>
      </c>
      <c r="D288" t="s">
        <v>14</v>
      </c>
      <c r="E288" t="s">
        <v>42</v>
      </c>
      <c r="F288" t="s">
        <v>21</v>
      </c>
      <c r="G288">
        <v>2</v>
      </c>
      <c r="H288">
        <v>3423</v>
      </c>
      <c r="I288">
        <v>6846</v>
      </c>
      <c r="J288">
        <v>56</v>
      </c>
      <c r="K288">
        <v>2</v>
      </c>
      <c r="L288" t="s">
        <v>22</v>
      </c>
      <c r="M288" t="str">
        <f t="shared" si="8"/>
        <v>Available</v>
      </c>
      <c r="N288">
        <f t="shared" si="9"/>
        <v>1369.2</v>
      </c>
    </row>
    <row r="289" spans="1:14" x14ac:dyDescent="0.3">
      <c r="A289" t="s">
        <v>329</v>
      </c>
      <c r="B289" s="1">
        <v>46012</v>
      </c>
      <c r="C289" t="s">
        <v>19</v>
      </c>
      <c r="D289" t="s">
        <v>27</v>
      </c>
      <c r="E289" t="s">
        <v>28</v>
      </c>
      <c r="F289" t="s">
        <v>16</v>
      </c>
      <c r="G289">
        <v>33</v>
      </c>
      <c r="H289">
        <v>1988</v>
      </c>
      <c r="I289">
        <v>65604</v>
      </c>
      <c r="J289">
        <v>233</v>
      </c>
      <c r="K289">
        <v>9</v>
      </c>
      <c r="L289" t="s">
        <v>17</v>
      </c>
      <c r="M289" t="str">
        <f t="shared" si="8"/>
        <v>Available</v>
      </c>
      <c r="N289">
        <f t="shared" si="9"/>
        <v>13120.800000000001</v>
      </c>
    </row>
    <row r="290" spans="1:14" x14ac:dyDescent="0.3">
      <c r="A290" t="s">
        <v>330</v>
      </c>
      <c r="B290" s="1">
        <v>45677</v>
      </c>
      <c r="C290" t="s">
        <v>26</v>
      </c>
      <c r="D290" t="s">
        <v>27</v>
      </c>
      <c r="E290" t="s">
        <v>34</v>
      </c>
      <c r="F290" t="s">
        <v>21</v>
      </c>
      <c r="G290">
        <v>28</v>
      </c>
      <c r="H290">
        <v>2643</v>
      </c>
      <c r="I290">
        <v>74004</v>
      </c>
      <c r="J290">
        <v>77</v>
      </c>
      <c r="K290">
        <v>4</v>
      </c>
      <c r="L290" t="s">
        <v>22</v>
      </c>
      <c r="M290" t="str">
        <f t="shared" si="8"/>
        <v>Available</v>
      </c>
      <c r="N290">
        <f t="shared" si="9"/>
        <v>14800.800000000001</v>
      </c>
    </row>
    <row r="291" spans="1:14" x14ac:dyDescent="0.3">
      <c r="A291" t="s">
        <v>331</v>
      </c>
      <c r="B291" s="1">
        <v>45681</v>
      </c>
      <c r="C291" t="s">
        <v>26</v>
      </c>
      <c r="D291" t="s">
        <v>14</v>
      </c>
      <c r="E291" t="s">
        <v>20</v>
      </c>
      <c r="F291" t="s">
        <v>16</v>
      </c>
      <c r="G291">
        <v>31</v>
      </c>
      <c r="H291">
        <v>4173</v>
      </c>
      <c r="I291">
        <v>129363</v>
      </c>
      <c r="J291">
        <v>42</v>
      </c>
      <c r="K291">
        <v>6</v>
      </c>
      <c r="L291" t="s">
        <v>17</v>
      </c>
      <c r="M291" t="str">
        <f t="shared" si="8"/>
        <v>Reorder</v>
      </c>
      <c r="N291">
        <f t="shared" si="9"/>
        <v>25872.600000000002</v>
      </c>
    </row>
    <row r="292" spans="1:14" x14ac:dyDescent="0.3">
      <c r="A292" t="s">
        <v>332</v>
      </c>
      <c r="B292" s="1">
        <v>45663</v>
      </c>
      <c r="C292" t="s">
        <v>13</v>
      </c>
      <c r="D292" t="s">
        <v>31</v>
      </c>
      <c r="E292" t="s">
        <v>76</v>
      </c>
      <c r="F292" t="s">
        <v>29</v>
      </c>
      <c r="G292">
        <v>46</v>
      </c>
      <c r="H292">
        <v>3535</v>
      </c>
      <c r="I292">
        <v>162610</v>
      </c>
      <c r="J292">
        <v>245</v>
      </c>
      <c r="K292">
        <v>2</v>
      </c>
      <c r="L292" t="s">
        <v>22</v>
      </c>
      <c r="M292" t="str">
        <f t="shared" si="8"/>
        <v>Available</v>
      </c>
      <c r="N292">
        <f t="shared" si="9"/>
        <v>32522</v>
      </c>
    </row>
    <row r="293" spans="1:14" x14ac:dyDescent="0.3">
      <c r="A293" t="s">
        <v>333</v>
      </c>
      <c r="B293" s="1">
        <v>45815</v>
      </c>
      <c r="C293" t="s">
        <v>19</v>
      </c>
      <c r="D293" t="s">
        <v>31</v>
      </c>
      <c r="E293" t="s">
        <v>32</v>
      </c>
      <c r="F293" t="s">
        <v>29</v>
      </c>
      <c r="G293">
        <v>33</v>
      </c>
      <c r="H293">
        <v>3271</v>
      </c>
      <c r="I293">
        <v>107943</v>
      </c>
      <c r="J293">
        <v>132</v>
      </c>
      <c r="K293">
        <v>9</v>
      </c>
      <c r="L293" t="s">
        <v>17</v>
      </c>
      <c r="M293" t="str">
        <f t="shared" si="8"/>
        <v>Available</v>
      </c>
      <c r="N293">
        <f t="shared" si="9"/>
        <v>21588.600000000002</v>
      </c>
    </row>
    <row r="294" spans="1:14" x14ac:dyDescent="0.3">
      <c r="A294" t="s">
        <v>334</v>
      </c>
      <c r="B294" s="1">
        <v>46021</v>
      </c>
      <c r="C294" t="s">
        <v>26</v>
      </c>
      <c r="D294" t="s">
        <v>27</v>
      </c>
      <c r="E294" t="s">
        <v>28</v>
      </c>
      <c r="F294" t="s">
        <v>16</v>
      </c>
      <c r="G294">
        <v>40</v>
      </c>
      <c r="H294">
        <v>4629</v>
      </c>
      <c r="I294">
        <v>185160</v>
      </c>
      <c r="J294">
        <v>116</v>
      </c>
      <c r="K294">
        <v>10</v>
      </c>
      <c r="L294" t="s">
        <v>17</v>
      </c>
      <c r="M294" t="str">
        <f t="shared" si="8"/>
        <v>Available</v>
      </c>
      <c r="N294">
        <f t="shared" si="9"/>
        <v>37032</v>
      </c>
    </row>
    <row r="295" spans="1:14" x14ac:dyDescent="0.3">
      <c r="A295" t="s">
        <v>335</v>
      </c>
      <c r="B295" s="1">
        <v>45682</v>
      </c>
      <c r="C295" t="s">
        <v>26</v>
      </c>
      <c r="D295" t="s">
        <v>14</v>
      </c>
      <c r="E295" t="s">
        <v>20</v>
      </c>
      <c r="F295" t="s">
        <v>24</v>
      </c>
      <c r="G295">
        <v>12</v>
      </c>
      <c r="H295">
        <v>593</v>
      </c>
      <c r="I295">
        <v>7116</v>
      </c>
      <c r="J295">
        <v>150</v>
      </c>
      <c r="K295">
        <v>9</v>
      </c>
      <c r="L295" t="s">
        <v>17</v>
      </c>
      <c r="M295" t="str">
        <f t="shared" si="8"/>
        <v>Available</v>
      </c>
      <c r="N295">
        <f t="shared" si="9"/>
        <v>1423.2</v>
      </c>
    </row>
    <row r="296" spans="1:14" x14ac:dyDescent="0.3">
      <c r="A296" t="s">
        <v>336</v>
      </c>
      <c r="B296" s="1">
        <v>45703</v>
      </c>
      <c r="C296" t="s">
        <v>19</v>
      </c>
      <c r="D296" t="s">
        <v>51</v>
      </c>
      <c r="E296" t="s">
        <v>52</v>
      </c>
      <c r="F296" t="s">
        <v>29</v>
      </c>
      <c r="G296">
        <v>25</v>
      </c>
      <c r="H296">
        <v>4678</v>
      </c>
      <c r="I296">
        <v>116950</v>
      </c>
      <c r="J296">
        <v>63</v>
      </c>
      <c r="K296">
        <v>7</v>
      </c>
      <c r="L296" t="s">
        <v>17</v>
      </c>
      <c r="M296" t="str">
        <f t="shared" si="8"/>
        <v>Available</v>
      </c>
      <c r="N296">
        <f t="shared" si="9"/>
        <v>23390</v>
      </c>
    </row>
    <row r="297" spans="1:14" x14ac:dyDescent="0.3">
      <c r="A297" t="s">
        <v>337</v>
      </c>
      <c r="B297" s="1">
        <v>45861</v>
      </c>
      <c r="C297" t="s">
        <v>13</v>
      </c>
      <c r="D297" t="s">
        <v>27</v>
      </c>
      <c r="E297" t="s">
        <v>28</v>
      </c>
      <c r="F297" t="s">
        <v>24</v>
      </c>
      <c r="G297">
        <v>16</v>
      </c>
      <c r="H297">
        <v>857</v>
      </c>
      <c r="I297">
        <v>13712</v>
      </c>
      <c r="J297">
        <v>278</v>
      </c>
      <c r="K297">
        <v>8</v>
      </c>
      <c r="L297" t="s">
        <v>17</v>
      </c>
      <c r="M297" t="str">
        <f t="shared" si="8"/>
        <v>Available</v>
      </c>
      <c r="N297">
        <f t="shared" si="9"/>
        <v>2742.4</v>
      </c>
    </row>
    <row r="298" spans="1:14" x14ac:dyDescent="0.3">
      <c r="A298" t="s">
        <v>338</v>
      </c>
      <c r="B298" s="1">
        <v>45869</v>
      </c>
      <c r="C298" t="s">
        <v>38</v>
      </c>
      <c r="D298" t="s">
        <v>51</v>
      </c>
      <c r="E298" t="s">
        <v>66</v>
      </c>
      <c r="F298" t="s">
        <v>16</v>
      </c>
      <c r="G298">
        <v>31</v>
      </c>
      <c r="H298">
        <v>4040</v>
      </c>
      <c r="I298">
        <v>125240</v>
      </c>
      <c r="J298">
        <v>232</v>
      </c>
      <c r="K298">
        <v>10</v>
      </c>
      <c r="L298" t="s">
        <v>17</v>
      </c>
      <c r="M298" t="str">
        <f t="shared" si="8"/>
        <v>Available</v>
      </c>
      <c r="N298">
        <f t="shared" si="9"/>
        <v>25048</v>
      </c>
    </row>
    <row r="299" spans="1:14" x14ac:dyDescent="0.3">
      <c r="A299" t="s">
        <v>339</v>
      </c>
      <c r="B299" s="1">
        <v>45980</v>
      </c>
      <c r="C299" t="s">
        <v>38</v>
      </c>
      <c r="D299" t="s">
        <v>51</v>
      </c>
      <c r="E299" t="s">
        <v>52</v>
      </c>
      <c r="F299" t="s">
        <v>24</v>
      </c>
      <c r="G299">
        <v>34</v>
      </c>
      <c r="H299">
        <v>4669</v>
      </c>
      <c r="I299">
        <v>158746</v>
      </c>
      <c r="J299">
        <v>109</v>
      </c>
      <c r="K299">
        <v>4</v>
      </c>
      <c r="L299" t="s">
        <v>22</v>
      </c>
      <c r="M299" t="str">
        <f t="shared" si="8"/>
        <v>Available</v>
      </c>
      <c r="N299">
        <f t="shared" si="9"/>
        <v>31749.200000000001</v>
      </c>
    </row>
    <row r="300" spans="1:14" x14ac:dyDescent="0.3">
      <c r="A300" t="s">
        <v>340</v>
      </c>
      <c r="B300" s="1">
        <v>45751</v>
      </c>
      <c r="C300" t="s">
        <v>19</v>
      </c>
      <c r="D300" t="s">
        <v>31</v>
      </c>
      <c r="E300" t="s">
        <v>76</v>
      </c>
      <c r="F300" t="s">
        <v>29</v>
      </c>
      <c r="G300">
        <v>12</v>
      </c>
      <c r="H300">
        <v>1218</v>
      </c>
      <c r="I300">
        <v>14616</v>
      </c>
      <c r="J300">
        <v>262</v>
      </c>
      <c r="K300">
        <v>10</v>
      </c>
      <c r="L300" t="s">
        <v>17</v>
      </c>
      <c r="M300" t="str">
        <f t="shared" si="8"/>
        <v>Available</v>
      </c>
      <c r="N300">
        <f t="shared" si="9"/>
        <v>2923.2000000000003</v>
      </c>
    </row>
    <row r="301" spans="1:14" x14ac:dyDescent="0.3">
      <c r="A301" t="s">
        <v>341</v>
      </c>
      <c r="B301" s="1">
        <v>45883</v>
      </c>
      <c r="C301" t="s">
        <v>19</v>
      </c>
      <c r="D301" t="s">
        <v>27</v>
      </c>
      <c r="E301" t="s">
        <v>34</v>
      </c>
      <c r="F301" t="s">
        <v>24</v>
      </c>
      <c r="G301">
        <v>1</v>
      </c>
      <c r="H301">
        <v>2296</v>
      </c>
      <c r="I301">
        <v>2296</v>
      </c>
      <c r="J301">
        <v>152</v>
      </c>
      <c r="K301">
        <v>7</v>
      </c>
      <c r="L301" t="s">
        <v>17</v>
      </c>
      <c r="M301" t="str">
        <f t="shared" si="8"/>
        <v>Available</v>
      </c>
      <c r="N301">
        <f t="shared" si="9"/>
        <v>459.20000000000005</v>
      </c>
    </row>
    <row r="302" spans="1:14" x14ac:dyDescent="0.3">
      <c r="A302" t="s">
        <v>342</v>
      </c>
      <c r="B302" s="1">
        <v>45734</v>
      </c>
      <c r="C302" t="s">
        <v>38</v>
      </c>
      <c r="D302" t="s">
        <v>14</v>
      </c>
      <c r="E302" t="s">
        <v>42</v>
      </c>
      <c r="F302" t="s">
        <v>29</v>
      </c>
      <c r="G302">
        <v>29</v>
      </c>
      <c r="H302">
        <v>2456</v>
      </c>
      <c r="I302">
        <v>71224</v>
      </c>
      <c r="J302">
        <v>63</v>
      </c>
      <c r="K302">
        <v>6</v>
      </c>
      <c r="L302" t="s">
        <v>17</v>
      </c>
      <c r="M302" t="str">
        <f t="shared" si="8"/>
        <v>Available</v>
      </c>
      <c r="N302">
        <f t="shared" si="9"/>
        <v>14244.800000000001</v>
      </c>
    </row>
    <row r="303" spans="1:14" x14ac:dyDescent="0.3">
      <c r="A303" t="s">
        <v>343</v>
      </c>
      <c r="B303" s="1">
        <v>45751</v>
      </c>
      <c r="C303" t="s">
        <v>38</v>
      </c>
      <c r="D303" t="s">
        <v>31</v>
      </c>
      <c r="E303" t="s">
        <v>32</v>
      </c>
      <c r="F303" t="s">
        <v>21</v>
      </c>
      <c r="G303">
        <v>12</v>
      </c>
      <c r="H303">
        <v>4147</v>
      </c>
      <c r="I303">
        <v>49764</v>
      </c>
      <c r="J303">
        <v>292</v>
      </c>
      <c r="K303">
        <v>6</v>
      </c>
      <c r="L303" t="s">
        <v>17</v>
      </c>
      <c r="M303" t="str">
        <f t="shared" si="8"/>
        <v>Available</v>
      </c>
      <c r="N303">
        <f t="shared" si="9"/>
        <v>9952.8000000000011</v>
      </c>
    </row>
    <row r="304" spans="1:14" x14ac:dyDescent="0.3">
      <c r="A304" t="s">
        <v>344</v>
      </c>
      <c r="B304" s="1">
        <v>45790</v>
      </c>
      <c r="C304" t="s">
        <v>26</v>
      </c>
      <c r="D304" t="s">
        <v>51</v>
      </c>
      <c r="E304" t="s">
        <v>90</v>
      </c>
      <c r="F304" t="s">
        <v>24</v>
      </c>
      <c r="G304">
        <v>12</v>
      </c>
      <c r="H304">
        <v>2175</v>
      </c>
      <c r="I304">
        <v>26100</v>
      </c>
      <c r="J304">
        <v>204</v>
      </c>
      <c r="K304">
        <v>8</v>
      </c>
      <c r="L304" t="s">
        <v>17</v>
      </c>
      <c r="M304" t="str">
        <f t="shared" si="8"/>
        <v>Available</v>
      </c>
      <c r="N304">
        <f t="shared" si="9"/>
        <v>5220</v>
      </c>
    </row>
    <row r="305" spans="1:14" x14ac:dyDescent="0.3">
      <c r="A305" t="s">
        <v>345</v>
      </c>
      <c r="B305" s="1">
        <v>45892</v>
      </c>
      <c r="C305" t="s">
        <v>38</v>
      </c>
      <c r="D305" t="s">
        <v>27</v>
      </c>
      <c r="E305" t="s">
        <v>83</v>
      </c>
      <c r="F305" t="s">
        <v>21</v>
      </c>
      <c r="G305">
        <v>16</v>
      </c>
      <c r="H305">
        <v>4746</v>
      </c>
      <c r="I305">
        <v>75936</v>
      </c>
      <c r="J305">
        <v>167</v>
      </c>
      <c r="K305">
        <v>3</v>
      </c>
      <c r="L305" t="s">
        <v>22</v>
      </c>
      <c r="M305" t="str">
        <f t="shared" si="8"/>
        <v>Available</v>
      </c>
      <c r="N305">
        <f t="shared" si="9"/>
        <v>15187.2</v>
      </c>
    </row>
    <row r="306" spans="1:14" x14ac:dyDescent="0.3">
      <c r="A306" t="s">
        <v>346</v>
      </c>
      <c r="B306" s="1">
        <v>45945</v>
      </c>
      <c r="C306" t="s">
        <v>26</v>
      </c>
      <c r="D306" t="s">
        <v>14</v>
      </c>
      <c r="E306" t="s">
        <v>58</v>
      </c>
      <c r="F306" t="s">
        <v>24</v>
      </c>
      <c r="G306">
        <v>3</v>
      </c>
      <c r="H306">
        <v>2806</v>
      </c>
      <c r="I306">
        <v>8418</v>
      </c>
      <c r="J306">
        <v>182</v>
      </c>
      <c r="K306">
        <v>4</v>
      </c>
      <c r="L306" t="s">
        <v>22</v>
      </c>
      <c r="M306" t="str">
        <f t="shared" si="8"/>
        <v>Available</v>
      </c>
      <c r="N306">
        <f t="shared" si="9"/>
        <v>1683.6000000000001</v>
      </c>
    </row>
    <row r="307" spans="1:14" x14ac:dyDescent="0.3">
      <c r="A307" t="s">
        <v>347</v>
      </c>
      <c r="B307" s="1">
        <v>45724</v>
      </c>
      <c r="C307" t="s">
        <v>38</v>
      </c>
      <c r="D307" t="s">
        <v>27</v>
      </c>
      <c r="E307" t="s">
        <v>34</v>
      </c>
      <c r="F307" t="s">
        <v>29</v>
      </c>
      <c r="G307">
        <v>7</v>
      </c>
      <c r="H307">
        <v>565</v>
      </c>
      <c r="I307">
        <v>3955</v>
      </c>
      <c r="J307">
        <v>195</v>
      </c>
      <c r="K307">
        <v>9</v>
      </c>
      <c r="L307" t="s">
        <v>17</v>
      </c>
      <c r="M307" t="str">
        <f t="shared" si="8"/>
        <v>Available</v>
      </c>
      <c r="N307">
        <f t="shared" si="9"/>
        <v>791</v>
      </c>
    </row>
    <row r="308" spans="1:14" x14ac:dyDescent="0.3">
      <c r="A308" t="s">
        <v>348</v>
      </c>
      <c r="B308" s="1">
        <v>45707</v>
      </c>
      <c r="C308" t="s">
        <v>26</v>
      </c>
      <c r="D308" t="s">
        <v>27</v>
      </c>
      <c r="E308" t="s">
        <v>34</v>
      </c>
      <c r="F308" t="s">
        <v>24</v>
      </c>
      <c r="G308">
        <v>39</v>
      </c>
      <c r="H308">
        <v>1875</v>
      </c>
      <c r="I308">
        <v>73125</v>
      </c>
      <c r="J308">
        <v>81</v>
      </c>
      <c r="K308">
        <v>8</v>
      </c>
      <c r="L308" t="s">
        <v>17</v>
      </c>
      <c r="M308" t="str">
        <f t="shared" si="8"/>
        <v>Available</v>
      </c>
      <c r="N308">
        <f t="shared" si="9"/>
        <v>14625</v>
      </c>
    </row>
    <row r="309" spans="1:14" x14ac:dyDescent="0.3">
      <c r="A309" t="s">
        <v>349</v>
      </c>
      <c r="B309" s="1">
        <v>45781</v>
      </c>
      <c r="C309" t="s">
        <v>26</v>
      </c>
      <c r="D309" t="s">
        <v>51</v>
      </c>
      <c r="E309" t="s">
        <v>66</v>
      </c>
      <c r="F309" t="s">
        <v>29</v>
      </c>
      <c r="G309">
        <v>39</v>
      </c>
      <c r="H309">
        <v>793</v>
      </c>
      <c r="I309">
        <v>30927</v>
      </c>
      <c r="J309">
        <v>136</v>
      </c>
      <c r="K309">
        <v>3</v>
      </c>
      <c r="L309" t="s">
        <v>22</v>
      </c>
      <c r="M309" t="str">
        <f t="shared" si="8"/>
        <v>Available</v>
      </c>
      <c r="N309">
        <f t="shared" si="9"/>
        <v>6185.4000000000005</v>
      </c>
    </row>
    <row r="310" spans="1:14" x14ac:dyDescent="0.3">
      <c r="A310" t="s">
        <v>350</v>
      </c>
      <c r="B310" s="1">
        <v>45718</v>
      </c>
      <c r="C310" t="s">
        <v>38</v>
      </c>
      <c r="D310" t="s">
        <v>51</v>
      </c>
      <c r="E310" t="s">
        <v>56</v>
      </c>
      <c r="F310" t="s">
        <v>16</v>
      </c>
      <c r="G310">
        <v>42</v>
      </c>
      <c r="H310">
        <v>870</v>
      </c>
      <c r="I310">
        <v>36540</v>
      </c>
      <c r="J310">
        <v>32</v>
      </c>
      <c r="K310">
        <v>3</v>
      </c>
      <c r="L310" t="s">
        <v>22</v>
      </c>
      <c r="M310" t="str">
        <f t="shared" si="8"/>
        <v>Reorder</v>
      </c>
      <c r="N310">
        <f t="shared" si="9"/>
        <v>7308</v>
      </c>
    </row>
    <row r="311" spans="1:14" x14ac:dyDescent="0.3">
      <c r="A311" t="s">
        <v>351</v>
      </c>
      <c r="B311" s="1">
        <v>45696</v>
      </c>
      <c r="C311" t="s">
        <v>19</v>
      </c>
      <c r="D311" t="s">
        <v>31</v>
      </c>
      <c r="E311" t="s">
        <v>76</v>
      </c>
      <c r="F311" t="s">
        <v>21</v>
      </c>
      <c r="G311">
        <v>33</v>
      </c>
      <c r="H311">
        <v>730</v>
      </c>
      <c r="I311">
        <v>24090</v>
      </c>
      <c r="J311">
        <v>123</v>
      </c>
      <c r="K311">
        <v>5</v>
      </c>
      <c r="L311" t="s">
        <v>22</v>
      </c>
      <c r="M311" t="str">
        <f t="shared" si="8"/>
        <v>Available</v>
      </c>
      <c r="N311">
        <f t="shared" si="9"/>
        <v>4818</v>
      </c>
    </row>
    <row r="312" spans="1:14" x14ac:dyDescent="0.3">
      <c r="A312" t="s">
        <v>352</v>
      </c>
      <c r="B312" s="1">
        <v>45853</v>
      </c>
      <c r="C312" t="s">
        <v>26</v>
      </c>
      <c r="D312" t="s">
        <v>51</v>
      </c>
      <c r="E312" t="s">
        <v>52</v>
      </c>
      <c r="F312" t="s">
        <v>29</v>
      </c>
      <c r="G312">
        <v>1</v>
      </c>
      <c r="H312">
        <v>3742</v>
      </c>
      <c r="I312">
        <v>3742</v>
      </c>
      <c r="J312">
        <v>202</v>
      </c>
      <c r="K312">
        <v>5</v>
      </c>
      <c r="L312" t="s">
        <v>22</v>
      </c>
      <c r="M312" t="str">
        <f t="shared" si="8"/>
        <v>Available</v>
      </c>
      <c r="N312">
        <f t="shared" si="9"/>
        <v>748.40000000000009</v>
      </c>
    </row>
    <row r="313" spans="1:14" x14ac:dyDescent="0.3">
      <c r="A313" t="s">
        <v>353</v>
      </c>
      <c r="B313" s="1">
        <v>45913</v>
      </c>
      <c r="C313" t="s">
        <v>26</v>
      </c>
      <c r="D313" t="s">
        <v>31</v>
      </c>
      <c r="E313" t="s">
        <v>45</v>
      </c>
      <c r="F313" t="s">
        <v>29</v>
      </c>
      <c r="G313">
        <v>36</v>
      </c>
      <c r="H313">
        <v>1351</v>
      </c>
      <c r="I313">
        <v>48636</v>
      </c>
      <c r="J313">
        <v>59</v>
      </c>
      <c r="K313">
        <v>5</v>
      </c>
      <c r="L313" t="s">
        <v>22</v>
      </c>
      <c r="M313" t="str">
        <f t="shared" si="8"/>
        <v>Available</v>
      </c>
      <c r="N313">
        <f t="shared" si="9"/>
        <v>9727.2000000000007</v>
      </c>
    </row>
    <row r="314" spans="1:14" x14ac:dyDescent="0.3">
      <c r="A314" t="s">
        <v>354</v>
      </c>
      <c r="B314" s="1">
        <v>45865</v>
      </c>
      <c r="C314" t="s">
        <v>26</v>
      </c>
      <c r="D314" t="s">
        <v>51</v>
      </c>
      <c r="E314" t="s">
        <v>66</v>
      </c>
      <c r="F314" t="s">
        <v>24</v>
      </c>
      <c r="G314">
        <v>47</v>
      </c>
      <c r="H314">
        <v>817</v>
      </c>
      <c r="I314">
        <v>38399</v>
      </c>
      <c r="J314">
        <v>256</v>
      </c>
      <c r="K314">
        <v>4</v>
      </c>
      <c r="L314" t="s">
        <v>22</v>
      </c>
      <c r="M314" t="str">
        <f t="shared" si="8"/>
        <v>Available</v>
      </c>
      <c r="N314">
        <f t="shared" si="9"/>
        <v>7679.8</v>
      </c>
    </row>
    <row r="315" spans="1:14" x14ac:dyDescent="0.3">
      <c r="A315" t="s">
        <v>355</v>
      </c>
      <c r="B315" s="1">
        <v>45754</v>
      </c>
      <c r="C315" t="s">
        <v>19</v>
      </c>
      <c r="D315" t="s">
        <v>27</v>
      </c>
      <c r="E315" t="s">
        <v>28</v>
      </c>
      <c r="F315" t="s">
        <v>21</v>
      </c>
      <c r="G315">
        <v>22</v>
      </c>
      <c r="H315">
        <v>1426</v>
      </c>
      <c r="I315">
        <v>31372</v>
      </c>
      <c r="J315">
        <v>42</v>
      </c>
      <c r="K315">
        <v>10</v>
      </c>
      <c r="L315" t="s">
        <v>17</v>
      </c>
      <c r="M315" t="str">
        <f t="shared" si="8"/>
        <v>Reorder</v>
      </c>
      <c r="N315">
        <f t="shared" si="9"/>
        <v>6274.4000000000005</v>
      </c>
    </row>
    <row r="316" spans="1:14" x14ac:dyDescent="0.3">
      <c r="A316" t="s">
        <v>356</v>
      </c>
      <c r="B316" s="1">
        <v>45910</v>
      </c>
      <c r="C316" t="s">
        <v>38</v>
      </c>
      <c r="D316" t="s">
        <v>27</v>
      </c>
      <c r="E316" t="s">
        <v>64</v>
      </c>
      <c r="F316" t="s">
        <v>16</v>
      </c>
      <c r="G316">
        <v>6</v>
      </c>
      <c r="H316">
        <v>2098</v>
      </c>
      <c r="I316">
        <v>12588</v>
      </c>
      <c r="J316">
        <v>247</v>
      </c>
      <c r="K316">
        <v>10</v>
      </c>
      <c r="L316" t="s">
        <v>17</v>
      </c>
      <c r="M316" t="str">
        <f t="shared" si="8"/>
        <v>Available</v>
      </c>
      <c r="N316">
        <f t="shared" si="9"/>
        <v>2517.6000000000004</v>
      </c>
    </row>
    <row r="317" spans="1:14" x14ac:dyDescent="0.3">
      <c r="A317" t="s">
        <v>357</v>
      </c>
      <c r="B317" s="1">
        <v>45799</v>
      </c>
      <c r="C317" t="s">
        <v>38</v>
      </c>
      <c r="D317" t="s">
        <v>27</v>
      </c>
      <c r="E317" t="s">
        <v>64</v>
      </c>
      <c r="F317" t="s">
        <v>24</v>
      </c>
      <c r="G317">
        <v>7</v>
      </c>
      <c r="H317">
        <v>2227</v>
      </c>
      <c r="I317">
        <v>15589</v>
      </c>
      <c r="J317">
        <v>115</v>
      </c>
      <c r="K317">
        <v>2</v>
      </c>
      <c r="L317" t="s">
        <v>22</v>
      </c>
      <c r="M317" t="str">
        <f t="shared" si="8"/>
        <v>Available</v>
      </c>
      <c r="N317">
        <f t="shared" si="9"/>
        <v>3117.8</v>
      </c>
    </row>
    <row r="318" spans="1:14" x14ac:dyDescent="0.3">
      <c r="A318" t="s">
        <v>358</v>
      </c>
      <c r="B318" s="1">
        <v>45662</v>
      </c>
      <c r="C318" t="s">
        <v>38</v>
      </c>
      <c r="D318" t="s">
        <v>51</v>
      </c>
      <c r="E318" t="s">
        <v>66</v>
      </c>
      <c r="F318" t="s">
        <v>29</v>
      </c>
      <c r="G318">
        <v>42</v>
      </c>
      <c r="H318">
        <v>4539</v>
      </c>
      <c r="I318">
        <v>190638</v>
      </c>
      <c r="J318">
        <v>187</v>
      </c>
      <c r="K318">
        <v>7</v>
      </c>
      <c r="L318" t="s">
        <v>17</v>
      </c>
      <c r="M318" t="str">
        <f t="shared" si="8"/>
        <v>Available</v>
      </c>
      <c r="N318">
        <f t="shared" si="9"/>
        <v>38127.599999999999</v>
      </c>
    </row>
    <row r="319" spans="1:14" x14ac:dyDescent="0.3">
      <c r="A319" t="s">
        <v>359</v>
      </c>
      <c r="B319" s="1">
        <v>45838</v>
      </c>
      <c r="C319" t="s">
        <v>19</v>
      </c>
      <c r="D319" t="s">
        <v>27</v>
      </c>
      <c r="E319" t="s">
        <v>34</v>
      </c>
      <c r="F319" t="s">
        <v>21</v>
      </c>
      <c r="G319">
        <v>37</v>
      </c>
      <c r="H319">
        <v>4281</v>
      </c>
      <c r="I319">
        <v>158397</v>
      </c>
      <c r="J319">
        <v>256</v>
      </c>
      <c r="K319">
        <v>3</v>
      </c>
      <c r="L319" t="s">
        <v>22</v>
      </c>
      <c r="M319" t="str">
        <f t="shared" si="8"/>
        <v>Available</v>
      </c>
      <c r="N319">
        <f t="shared" si="9"/>
        <v>31679.4</v>
      </c>
    </row>
    <row r="320" spans="1:14" x14ac:dyDescent="0.3">
      <c r="A320" t="s">
        <v>360</v>
      </c>
      <c r="B320" s="1">
        <v>45991</v>
      </c>
      <c r="C320" t="s">
        <v>19</v>
      </c>
      <c r="D320" t="s">
        <v>31</v>
      </c>
      <c r="E320" t="s">
        <v>32</v>
      </c>
      <c r="F320" t="s">
        <v>21</v>
      </c>
      <c r="G320">
        <v>23</v>
      </c>
      <c r="H320">
        <v>4294</v>
      </c>
      <c r="I320">
        <v>98762</v>
      </c>
      <c r="J320">
        <v>74</v>
      </c>
      <c r="K320">
        <v>4</v>
      </c>
      <c r="L320" t="s">
        <v>22</v>
      </c>
      <c r="M320" t="str">
        <f t="shared" si="8"/>
        <v>Available</v>
      </c>
      <c r="N320">
        <f t="shared" si="9"/>
        <v>19752.400000000001</v>
      </c>
    </row>
    <row r="321" spans="1:14" x14ac:dyDescent="0.3">
      <c r="A321" t="s">
        <v>361</v>
      </c>
      <c r="B321" s="1">
        <v>45779</v>
      </c>
      <c r="C321" t="s">
        <v>19</v>
      </c>
      <c r="D321" t="s">
        <v>14</v>
      </c>
      <c r="E321" t="s">
        <v>42</v>
      </c>
      <c r="F321" t="s">
        <v>24</v>
      </c>
      <c r="G321">
        <v>14</v>
      </c>
      <c r="H321">
        <v>2607</v>
      </c>
      <c r="I321">
        <v>36498</v>
      </c>
      <c r="J321">
        <v>64</v>
      </c>
      <c r="K321">
        <v>7</v>
      </c>
      <c r="L321" t="s">
        <v>17</v>
      </c>
      <c r="M321" t="str">
        <f t="shared" si="8"/>
        <v>Available</v>
      </c>
      <c r="N321">
        <f t="shared" si="9"/>
        <v>7299.6</v>
      </c>
    </row>
    <row r="322" spans="1:14" x14ac:dyDescent="0.3">
      <c r="A322" t="s">
        <v>362</v>
      </c>
      <c r="B322" s="1">
        <v>45760</v>
      </c>
      <c r="C322" t="s">
        <v>13</v>
      </c>
      <c r="D322" t="s">
        <v>31</v>
      </c>
      <c r="E322" t="s">
        <v>45</v>
      </c>
      <c r="F322" t="s">
        <v>21</v>
      </c>
      <c r="G322">
        <v>45</v>
      </c>
      <c r="H322">
        <v>4394</v>
      </c>
      <c r="I322">
        <v>197730</v>
      </c>
      <c r="J322">
        <v>52</v>
      </c>
      <c r="K322">
        <v>2</v>
      </c>
      <c r="L322" t="s">
        <v>22</v>
      </c>
      <c r="M322" t="str">
        <f t="shared" si="8"/>
        <v>Available</v>
      </c>
      <c r="N322">
        <f t="shared" si="9"/>
        <v>39546</v>
      </c>
    </row>
    <row r="323" spans="1:14" x14ac:dyDescent="0.3">
      <c r="A323" t="s">
        <v>363</v>
      </c>
      <c r="B323" s="1">
        <v>45979</v>
      </c>
      <c r="C323" t="s">
        <v>13</v>
      </c>
      <c r="D323" t="s">
        <v>14</v>
      </c>
      <c r="E323" t="s">
        <v>42</v>
      </c>
      <c r="F323" t="s">
        <v>29</v>
      </c>
      <c r="G323">
        <v>14</v>
      </c>
      <c r="H323">
        <v>3722</v>
      </c>
      <c r="I323">
        <v>52108</v>
      </c>
      <c r="J323">
        <v>106</v>
      </c>
      <c r="K323">
        <v>9</v>
      </c>
      <c r="L323" t="s">
        <v>17</v>
      </c>
      <c r="M323" t="str">
        <f t="shared" ref="M323:M386" si="10">IF(J323&lt;50,"Reorder","Available")</f>
        <v>Available</v>
      </c>
      <c r="N323">
        <f t="shared" ref="N323:N386" si="11">I323*20%</f>
        <v>10421.6</v>
      </c>
    </row>
    <row r="324" spans="1:14" x14ac:dyDescent="0.3">
      <c r="A324" t="s">
        <v>364</v>
      </c>
      <c r="B324" s="1">
        <v>45880</v>
      </c>
      <c r="C324" t="s">
        <v>19</v>
      </c>
      <c r="D324" t="s">
        <v>31</v>
      </c>
      <c r="E324" t="s">
        <v>32</v>
      </c>
      <c r="F324" t="s">
        <v>29</v>
      </c>
      <c r="G324">
        <v>3</v>
      </c>
      <c r="H324">
        <v>4275</v>
      </c>
      <c r="I324">
        <v>12825</v>
      </c>
      <c r="J324">
        <v>158</v>
      </c>
      <c r="K324">
        <v>4</v>
      </c>
      <c r="L324" t="s">
        <v>22</v>
      </c>
      <c r="M324" t="str">
        <f t="shared" si="10"/>
        <v>Available</v>
      </c>
      <c r="N324">
        <f t="shared" si="11"/>
        <v>2565</v>
      </c>
    </row>
    <row r="325" spans="1:14" x14ac:dyDescent="0.3">
      <c r="A325" t="s">
        <v>365</v>
      </c>
      <c r="B325" s="1">
        <v>45979</v>
      </c>
      <c r="C325" t="s">
        <v>19</v>
      </c>
      <c r="D325" t="s">
        <v>31</v>
      </c>
      <c r="E325" t="s">
        <v>32</v>
      </c>
      <c r="F325" t="s">
        <v>21</v>
      </c>
      <c r="G325">
        <v>16</v>
      </c>
      <c r="H325">
        <v>4412</v>
      </c>
      <c r="I325">
        <v>70592</v>
      </c>
      <c r="J325">
        <v>68</v>
      </c>
      <c r="K325">
        <v>2</v>
      </c>
      <c r="L325" t="s">
        <v>22</v>
      </c>
      <c r="M325" t="str">
        <f t="shared" si="10"/>
        <v>Available</v>
      </c>
      <c r="N325">
        <f t="shared" si="11"/>
        <v>14118.400000000001</v>
      </c>
    </row>
    <row r="326" spans="1:14" x14ac:dyDescent="0.3">
      <c r="A326" t="s">
        <v>366</v>
      </c>
      <c r="B326" s="1">
        <v>45684</v>
      </c>
      <c r="C326" t="s">
        <v>13</v>
      </c>
      <c r="D326" t="s">
        <v>14</v>
      </c>
      <c r="E326" t="s">
        <v>58</v>
      </c>
      <c r="F326" t="s">
        <v>21</v>
      </c>
      <c r="G326">
        <v>18</v>
      </c>
      <c r="H326">
        <v>2148</v>
      </c>
      <c r="I326">
        <v>38664</v>
      </c>
      <c r="J326">
        <v>213</v>
      </c>
      <c r="K326">
        <v>4</v>
      </c>
      <c r="L326" t="s">
        <v>22</v>
      </c>
      <c r="M326" t="str">
        <f t="shared" si="10"/>
        <v>Available</v>
      </c>
      <c r="N326">
        <f t="shared" si="11"/>
        <v>7732.8</v>
      </c>
    </row>
    <row r="327" spans="1:14" x14ac:dyDescent="0.3">
      <c r="A327" t="s">
        <v>367</v>
      </c>
      <c r="B327" s="1">
        <v>45817</v>
      </c>
      <c r="C327" t="s">
        <v>38</v>
      </c>
      <c r="D327" t="s">
        <v>14</v>
      </c>
      <c r="E327" t="s">
        <v>42</v>
      </c>
      <c r="F327" t="s">
        <v>21</v>
      </c>
      <c r="G327">
        <v>41</v>
      </c>
      <c r="H327">
        <v>887</v>
      </c>
      <c r="I327">
        <v>36367</v>
      </c>
      <c r="J327">
        <v>119</v>
      </c>
      <c r="K327">
        <v>9</v>
      </c>
      <c r="L327" t="s">
        <v>17</v>
      </c>
      <c r="M327" t="str">
        <f t="shared" si="10"/>
        <v>Available</v>
      </c>
      <c r="N327">
        <f t="shared" si="11"/>
        <v>7273.4000000000005</v>
      </c>
    </row>
    <row r="328" spans="1:14" x14ac:dyDescent="0.3">
      <c r="A328" t="s">
        <v>368</v>
      </c>
      <c r="B328" s="1">
        <v>45793</v>
      </c>
      <c r="C328" t="s">
        <v>13</v>
      </c>
      <c r="D328" t="s">
        <v>27</v>
      </c>
      <c r="E328" t="s">
        <v>83</v>
      </c>
      <c r="F328" t="s">
        <v>24</v>
      </c>
      <c r="G328">
        <v>15</v>
      </c>
      <c r="H328">
        <v>2530</v>
      </c>
      <c r="I328">
        <v>37950</v>
      </c>
      <c r="J328">
        <v>71</v>
      </c>
      <c r="K328">
        <v>8</v>
      </c>
      <c r="L328" t="s">
        <v>17</v>
      </c>
      <c r="M328" t="str">
        <f t="shared" si="10"/>
        <v>Available</v>
      </c>
      <c r="N328">
        <f t="shared" si="11"/>
        <v>7590</v>
      </c>
    </row>
    <row r="329" spans="1:14" x14ac:dyDescent="0.3">
      <c r="A329" t="s">
        <v>369</v>
      </c>
      <c r="B329" s="1">
        <v>45853</v>
      </c>
      <c r="C329" t="s">
        <v>38</v>
      </c>
      <c r="D329" t="s">
        <v>31</v>
      </c>
      <c r="E329" t="s">
        <v>32</v>
      </c>
      <c r="F329" t="s">
        <v>29</v>
      </c>
      <c r="G329">
        <v>10</v>
      </c>
      <c r="H329">
        <v>544</v>
      </c>
      <c r="I329">
        <v>5440</v>
      </c>
      <c r="J329">
        <v>271</v>
      </c>
      <c r="K329">
        <v>5</v>
      </c>
      <c r="L329" t="s">
        <v>22</v>
      </c>
      <c r="M329" t="str">
        <f t="shared" si="10"/>
        <v>Available</v>
      </c>
      <c r="N329">
        <f t="shared" si="11"/>
        <v>1088</v>
      </c>
    </row>
    <row r="330" spans="1:14" x14ac:dyDescent="0.3">
      <c r="A330" t="s">
        <v>370</v>
      </c>
      <c r="B330" s="1">
        <v>45725</v>
      </c>
      <c r="C330" t="s">
        <v>38</v>
      </c>
      <c r="D330" t="s">
        <v>31</v>
      </c>
      <c r="E330" t="s">
        <v>32</v>
      </c>
      <c r="F330" t="s">
        <v>21</v>
      </c>
      <c r="G330">
        <v>6</v>
      </c>
      <c r="H330">
        <v>675</v>
      </c>
      <c r="I330">
        <v>4050</v>
      </c>
      <c r="J330">
        <v>196</v>
      </c>
      <c r="K330">
        <v>3</v>
      </c>
      <c r="L330" t="s">
        <v>22</v>
      </c>
      <c r="M330" t="str">
        <f t="shared" si="10"/>
        <v>Available</v>
      </c>
      <c r="N330">
        <f t="shared" si="11"/>
        <v>810</v>
      </c>
    </row>
    <row r="331" spans="1:14" x14ac:dyDescent="0.3">
      <c r="A331" t="s">
        <v>371</v>
      </c>
      <c r="B331" s="1">
        <v>45951</v>
      </c>
      <c r="C331" t="s">
        <v>13</v>
      </c>
      <c r="D331" t="s">
        <v>27</v>
      </c>
      <c r="E331" t="s">
        <v>83</v>
      </c>
      <c r="F331" t="s">
        <v>24</v>
      </c>
      <c r="G331">
        <v>21</v>
      </c>
      <c r="H331">
        <v>3388</v>
      </c>
      <c r="I331">
        <v>71148</v>
      </c>
      <c r="J331">
        <v>99</v>
      </c>
      <c r="K331">
        <v>7</v>
      </c>
      <c r="L331" t="s">
        <v>17</v>
      </c>
      <c r="M331" t="str">
        <f t="shared" si="10"/>
        <v>Available</v>
      </c>
      <c r="N331">
        <f t="shared" si="11"/>
        <v>14229.6</v>
      </c>
    </row>
    <row r="332" spans="1:14" x14ac:dyDescent="0.3">
      <c r="A332" t="s">
        <v>372</v>
      </c>
      <c r="B332" s="1">
        <v>45899</v>
      </c>
      <c r="C332" t="s">
        <v>19</v>
      </c>
      <c r="D332" t="s">
        <v>27</v>
      </c>
      <c r="E332" t="s">
        <v>28</v>
      </c>
      <c r="F332" t="s">
        <v>24</v>
      </c>
      <c r="G332">
        <v>2</v>
      </c>
      <c r="H332">
        <v>3616</v>
      </c>
      <c r="I332">
        <v>7232</v>
      </c>
      <c r="J332">
        <v>163</v>
      </c>
      <c r="K332">
        <v>4</v>
      </c>
      <c r="L332" t="s">
        <v>22</v>
      </c>
      <c r="M332" t="str">
        <f t="shared" si="10"/>
        <v>Available</v>
      </c>
      <c r="N332">
        <f t="shared" si="11"/>
        <v>1446.4</v>
      </c>
    </row>
    <row r="333" spans="1:14" x14ac:dyDescent="0.3">
      <c r="A333" t="s">
        <v>373</v>
      </c>
      <c r="B333" s="1">
        <v>45830</v>
      </c>
      <c r="C333" t="s">
        <v>19</v>
      </c>
      <c r="D333" t="s">
        <v>31</v>
      </c>
      <c r="E333" t="s">
        <v>32</v>
      </c>
      <c r="F333" t="s">
        <v>24</v>
      </c>
      <c r="G333">
        <v>12</v>
      </c>
      <c r="H333">
        <v>3734</v>
      </c>
      <c r="I333">
        <v>44808</v>
      </c>
      <c r="J333">
        <v>82</v>
      </c>
      <c r="K333">
        <v>5</v>
      </c>
      <c r="L333" t="s">
        <v>22</v>
      </c>
      <c r="M333" t="str">
        <f t="shared" si="10"/>
        <v>Available</v>
      </c>
      <c r="N333">
        <f t="shared" si="11"/>
        <v>8961.6</v>
      </c>
    </row>
    <row r="334" spans="1:14" x14ac:dyDescent="0.3">
      <c r="A334" t="s">
        <v>374</v>
      </c>
      <c r="B334" s="1">
        <v>45783</v>
      </c>
      <c r="C334" t="s">
        <v>19</v>
      </c>
      <c r="D334" t="s">
        <v>51</v>
      </c>
      <c r="E334" t="s">
        <v>66</v>
      </c>
      <c r="F334" t="s">
        <v>24</v>
      </c>
      <c r="G334">
        <v>29</v>
      </c>
      <c r="H334">
        <v>1260</v>
      </c>
      <c r="I334">
        <v>36540</v>
      </c>
      <c r="J334">
        <v>64</v>
      </c>
      <c r="K334">
        <v>10</v>
      </c>
      <c r="L334" t="s">
        <v>17</v>
      </c>
      <c r="M334" t="str">
        <f t="shared" si="10"/>
        <v>Available</v>
      </c>
      <c r="N334">
        <f t="shared" si="11"/>
        <v>7308</v>
      </c>
    </row>
    <row r="335" spans="1:14" x14ac:dyDescent="0.3">
      <c r="A335" t="s">
        <v>375</v>
      </c>
      <c r="B335" s="1">
        <v>45725</v>
      </c>
      <c r="C335" t="s">
        <v>26</v>
      </c>
      <c r="D335" t="s">
        <v>14</v>
      </c>
      <c r="E335" t="s">
        <v>42</v>
      </c>
      <c r="F335" t="s">
        <v>29</v>
      </c>
      <c r="G335">
        <v>28</v>
      </c>
      <c r="H335">
        <v>4678</v>
      </c>
      <c r="I335">
        <v>130984</v>
      </c>
      <c r="J335">
        <v>283</v>
      </c>
      <c r="K335">
        <v>3</v>
      </c>
      <c r="L335" t="s">
        <v>22</v>
      </c>
      <c r="M335" t="str">
        <f t="shared" si="10"/>
        <v>Available</v>
      </c>
      <c r="N335">
        <f t="shared" si="11"/>
        <v>26196.800000000003</v>
      </c>
    </row>
    <row r="336" spans="1:14" x14ac:dyDescent="0.3">
      <c r="A336" t="s">
        <v>376</v>
      </c>
      <c r="B336" s="1">
        <v>45696</v>
      </c>
      <c r="C336" t="s">
        <v>19</v>
      </c>
      <c r="D336" t="s">
        <v>31</v>
      </c>
      <c r="E336" t="s">
        <v>40</v>
      </c>
      <c r="F336" t="s">
        <v>24</v>
      </c>
      <c r="G336">
        <v>14</v>
      </c>
      <c r="H336">
        <v>1034</v>
      </c>
      <c r="I336">
        <v>14476</v>
      </c>
      <c r="J336">
        <v>171</v>
      </c>
      <c r="K336">
        <v>4</v>
      </c>
      <c r="L336" t="s">
        <v>22</v>
      </c>
      <c r="M336" t="str">
        <f t="shared" si="10"/>
        <v>Available</v>
      </c>
      <c r="N336">
        <f t="shared" si="11"/>
        <v>2895.2000000000003</v>
      </c>
    </row>
    <row r="337" spans="1:14" x14ac:dyDescent="0.3">
      <c r="A337" t="s">
        <v>377</v>
      </c>
      <c r="B337" s="1">
        <v>45690</v>
      </c>
      <c r="C337" t="s">
        <v>19</v>
      </c>
      <c r="D337" t="s">
        <v>31</v>
      </c>
      <c r="E337" t="s">
        <v>76</v>
      </c>
      <c r="F337" t="s">
        <v>16</v>
      </c>
      <c r="G337">
        <v>33</v>
      </c>
      <c r="H337">
        <v>2599</v>
      </c>
      <c r="I337">
        <v>85767</v>
      </c>
      <c r="J337">
        <v>99</v>
      </c>
      <c r="K337">
        <v>7</v>
      </c>
      <c r="L337" t="s">
        <v>17</v>
      </c>
      <c r="M337" t="str">
        <f t="shared" si="10"/>
        <v>Available</v>
      </c>
      <c r="N337">
        <f t="shared" si="11"/>
        <v>17153.400000000001</v>
      </c>
    </row>
    <row r="338" spans="1:14" x14ac:dyDescent="0.3">
      <c r="A338" t="s">
        <v>378</v>
      </c>
      <c r="B338" s="1">
        <v>45686</v>
      </c>
      <c r="C338" t="s">
        <v>13</v>
      </c>
      <c r="D338" t="s">
        <v>51</v>
      </c>
      <c r="E338" t="s">
        <v>66</v>
      </c>
      <c r="F338" t="s">
        <v>29</v>
      </c>
      <c r="G338">
        <v>28</v>
      </c>
      <c r="H338">
        <v>2809</v>
      </c>
      <c r="I338">
        <v>78652</v>
      </c>
      <c r="J338">
        <v>293</v>
      </c>
      <c r="K338">
        <v>8</v>
      </c>
      <c r="L338" t="s">
        <v>17</v>
      </c>
      <c r="M338" t="str">
        <f t="shared" si="10"/>
        <v>Available</v>
      </c>
      <c r="N338">
        <f t="shared" si="11"/>
        <v>15730.400000000001</v>
      </c>
    </row>
    <row r="339" spans="1:14" x14ac:dyDescent="0.3">
      <c r="A339" t="s">
        <v>379</v>
      </c>
      <c r="B339" s="1">
        <v>45706</v>
      </c>
      <c r="C339" t="s">
        <v>26</v>
      </c>
      <c r="D339" t="s">
        <v>51</v>
      </c>
      <c r="E339" t="s">
        <v>90</v>
      </c>
      <c r="F339" t="s">
        <v>29</v>
      </c>
      <c r="G339">
        <v>47</v>
      </c>
      <c r="H339">
        <v>3977</v>
      </c>
      <c r="I339">
        <v>186919</v>
      </c>
      <c r="J339">
        <v>289</v>
      </c>
      <c r="K339">
        <v>8</v>
      </c>
      <c r="L339" t="s">
        <v>17</v>
      </c>
      <c r="M339" t="str">
        <f t="shared" si="10"/>
        <v>Available</v>
      </c>
      <c r="N339">
        <f t="shared" si="11"/>
        <v>37383.800000000003</v>
      </c>
    </row>
    <row r="340" spans="1:14" x14ac:dyDescent="0.3">
      <c r="A340" t="s">
        <v>380</v>
      </c>
      <c r="B340" s="1">
        <v>45917</v>
      </c>
      <c r="C340" t="s">
        <v>19</v>
      </c>
      <c r="D340" t="s">
        <v>51</v>
      </c>
      <c r="E340" t="s">
        <v>56</v>
      </c>
      <c r="F340" t="s">
        <v>24</v>
      </c>
      <c r="G340">
        <v>28</v>
      </c>
      <c r="H340">
        <v>3886</v>
      </c>
      <c r="I340">
        <v>108808</v>
      </c>
      <c r="J340">
        <v>56</v>
      </c>
      <c r="K340">
        <v>6</v>
      </c>
      <c r="L340" t="s">
        <v>17</v>
      </c>
      <c r="M340" t="str">
        <f t="shared" si="10"/>
        <v>Available</v>
      </c>
      <c r="N340">
        <f t="shared" si="11"/>
        <v>21761.600000000002</v>
      </c>
    </row>
    <row r="341" spans="1:14" x14ac:dyDescent="0.3">
      <c r="A341" t="s">
        <v>381</v>
      </c>
      <c r="B341" s="1">
        <v>45877</v>
      </c>
      <c r="C341" t="s">
        <v>26</v>
      </c>
      <c r="D341" t="s">
        <v>31</v>
      </c>
      <c r="E341" t="s">
        <v>40</v>
      </c>
      <c r="F341" t="s">
        <v>16</v>
      </c>
      <c r="G341">
        <v>25</v>
      </c>
      <c r="H341">
        <v>3197</v>
      </c>
      <c r="I341">
        <v>79925</v>
      </c>
      <c r="J341">
        <v>111</v>
      </c>
      <c r="K341">
        <v>7</v>
      </c>
      <c r="L341" t="s">
        <v>17</v>
      </c>
      <c r="M341" t="str">
        <f t="shared" si="10"/>
        <v>Available</v>
      </c>
      <c r="N341">
        <f t="shared" si="11"/>
        <v>15985</v>
      </c>
    </row>
    <row r="342" spans="1:14" x14ac:dyDescent="0.3">
      <c r="A342" t="s">
        <v>382</v>
      </c>
      <c r="B342" s="1">
        <v>45775</v>
      </c>
      <c r="C342" t="s">
        <v>26</v>
      </c>
      <c r="D342" t="s">
        <v>51</v>
      </c>
      <c r="E342" t="s">
        <v>52</v>
      </c>
      <c r="F342" t="s">
        <v>16</v>
      </c>
      <c r="G342">
        <v>27</v>
      </c>
      <c r="H342">
        <v>1888</v>
      </c>
      <c r="I342">
        <v>50976</v>
      </c>
      <c r="J342">
        <v>260</v>
      </c>
      <c r="K342">
        <v>8</v>
      </c>
      <c r="L342" t="s">
        <v>17</v>
      </c>
      <c r="M342" t="str">
        <f t="shared" si="10"/>
        <v>Available</v>
      </c>
      <c r="N342">
        <f t="shared" si="11"/>
        <v>10195.200000000001</v>
      </c>
    </row>
    <row r="343" spans="1:14" x14ac:dyDescent="0.3">
      <c r="A343" t="s">
        <v>383</v>
      </c>
      <c r="B343" s="1">
        <v>45983</v>
      </c>
      <c r="C343" t="s">
        <v>13</v>
      </c>
      <c r="D343" t="s">
        <v>27</v>
      </c>
      <c r="E343" t="s">
        <v>28</v>
      </c>
      <c r="F343" t="s">
        <v>24</v>
      </c>
      <c r="G343">
        <v>38</v>
      </c>
      <c r="H343">
        <v>1172</v>
      </c>
      <c r="I343">
        <v>44536</v>
      </c>
      <c r="J343">
        <v>94</v>
      </c>
      <c r="K343">
        <v>7</v>
      </c>
      <c r="L343" t="s">
        <v>17</v>
      </c>
      <c r="M343" t="str">
        <f t="shared" si="10"/>
        <v>Available</v>
      </c>
      <c r="N343">
        <f t="shared" si="11"/>
        <v>8907.2000000000007</v>
      </c>
    </row>
    <row r="344" spans="1:14" x14ac:dyDescent="0.3">
      <c r="A344" t="s">
        <v>384</v>
      </c>
      <c r="B344" s="1">
        <v>45892</v>
      </c>
      <c r="C344" t="s">
        <v>13</v>
      </c>
      <c r="D344" t="s">
        <v>27</v>
      </c>
      <c r="E344" t="s">
        <v>28</v>
      </c>
      <c r="F344" t="s">
        <v>24</v>
      </c>
      <c r="G344">
        <v>38</v>
      </c>
      <c r="H344">
        <v>2811</v>
      </c>
      <c r="I344">
        <v>106818</v>
      </c>
      <c r="J344">
        <v>226</v>
      </c>
      <c r="K344">
        <v>8</v>
      </c>
      <c r="L344" t="s">
        <v>17</v>
      </c>
      <c r="M344" t="str">
        <f t="shared" si="10"/>
        <v>Available</v>
      </c>
      <c r="N344">
        <f t="shared" si="11"/>
        <v>21363.600000000002</v>
      </c>
    </row>
    <row r="345" spans="1:14" x14ac:dyDescent="0.3">
      <c r="A345" t="s">
        <v>385</v>
      </c>
      <c r="B345" s="1">
        <v>45820</v>
      </c>
      <c r="C345" t="s">
        <v>19</v>
      </c>
      <c r="D345" t="s">
        <v>14</v>
      </c>
      <c r="E345" t="s">
        <v>20</v>
      </c>
      <c r="F345" t="s">
        <v>24</v>
      </c>
      <c r="G345">
        <v>8</v>
      </c>
      <c r="H345">
        <v>824</v>
      </c>
      <c r="I345">
        <v>6592</v>
      </c>
      <c r="J345">
        <v>128</v>
      </c>
      <c r="K345">
        <v>9</v>
      </c>
      <c r="L345" t="s">
        <v>17</v>
      </c>
      <c r="M345" t="str">
        <f t="shared" si="10"/>
        <v>Available</v>
      </c>
      <c r="N345">
        <f t="shared" si="11"/>
        <v>1318.4</v>
      </c>
    </row>
    <row r="346" spans="1:14" x14ac:dyDescent="0.3">
      <c r="A346" t="s">
        <v>386</v>
      </c>
      <c r="B346" s="1">
        <v>45720</v>
      </c>
      <c r="C346" t="s">
        <v>38</v>
      </c>
      <c r="D346" t="s">
        <v>14</v>
      </c>
      <c r="E346" t="s">
        <v>58</v>
      </c>
      <c r="F346" t="s">
        <v>16</v>
      </c>
      <c r="G346">
        <v>2</v>
      </c>
      <c r="H346">
        <v>3828</v>
      </c>
      <c r="I346">
        <v>7656</v>
      </c>
      <c r="J346">
        <v>283</v>
      </c>
      <c r="K346">
        <v>5</v>
      </c>
      <c r="L346" t="s">
        <v>22</v>
      </c>
      <c r="M346" t="str">
        <f t="shared" si="10"/>
        <v>Available</v>
      </c>
      <c r="N346">
        <f t="shared" si="11"/>
        <v>1531.2</v>
      </c>
    </row>
    <row r="347" spans="1:14" x14ac:dyDescent="0.3">
      <c r="A347" t="s">
        <v>387</v>
      </c>
      <c r="B347" s="1">
        <v>46007</v>
      </c>
      <c r="C347" t="s">
        <v>13</v>
      </c>
      <c r="D347" t="s">
        <v>31</v>
      </c>
      <c r="E347" t="s">
        <v>32</v>
      </c>
      <c r="F347" t="s">
        <v>21</v>
      </c>
      <c r="G347">
        <v>1</v>
      </c>
      <c r="H347">
        <v>1114</v>
      </c>
      <c r="I347">
        <v>1114</v>
      </c>
      <c r="J347">
        <v>91</v>
      </c>
      <c r="K347">
        <v>5</v>
      </c>
      <c r="L347" t="s">
        <v>22</v>
      </c>
      <c r="M347" t="str">
        <f t="shared" si="10"/>
        <v>Available</v>
      </c>
      <c r="N347">
        <f t="shared" si="11"/>
        <v>222.8</v>
      </c>
    </row>
    <row r="348" spans="1:14" x14ac:dyDescent="0.3">
      <c r="A348" t="s">
        <v>388</v>
      </c>
      <c r="B348" s="1">
        <v>45692</v>
      </c>
      <c r="C348" t="s">
        <v>13</v>
      </c>
      <c r="D348" t="s">
        <v>31</v>
      </c>
      <c r="E348" t="s">
        <v>76</v>
      </c>
      <c r="F348" t="s">
        <v>29</v>
      </c>
      <c r="G348">
        <v>41</v>
      </c>
      <c r="H348">
        <v>4371</v>
      </c>
      <c r="I348">
        <v>179211</v>
      </c>
      <c r="J348">
        <v>42</v>
      </c>
      <c r="K348">
        <v>7</v>
      </c>
      <c r="L348" t="s">
        <v>17</v>
      </c>
      <c r="M348" t="str">
        <f t="shared" si="10"/>
        <v>Reorder</v>
      </c>
      <c r="N348">
        <f t="shared" si="11"/>
        <v>35842.200000000004</v>
      </c>
    </row>
    <row r="349" spans="1:14" x14ac:dyDescent="0.3">
      <c r="A349" t="s">
        <v>389</v>
      </c>
      <c r="B349" s="1">
        <v>45820</v>
      </c>
      <c r="C349" t="s">
        <v>26</v>
      </c>
      <c r="D349" t="s">
        <v>51</v>
      </c>
      <c r="E349" t="s">
        <v>56</v>
      </c>
      <c r="F349" t="s">
        <v>29</v>
      </c>
      <c r="G349">
        <v>22</v>
      </c>
      <c r="H349">
        <v>2114</v>
      </c>
      <c r="I349">
        <v>46508</v>
      </c>
      <c r="J349">
        <v>118</v>
      </c>
      <c r="K349">
        <v>5</v>
      </c>
      <c r="L349" t="s">
        <v>22</v>
      </c>
      <c r="M349" t="str">
        <f t="shared" si="10"/>
        <v>Available</v>
      </c>
      <c r="N349">
        <f t="shared" si="11"/>
        <v>9301.6</v>
      </c>
    </row>
    <row r="350" spans="1:14" x14ac:dyDescent="0.3">
      <c r="A350" t="s">
        <v>390</v>
      </c>
      <c r="B350" s="1">
        <v>45830</v>
      </c>
      <c r="C350" t="s">
        <v>19</v>
      </c>
      <c r="D350" t="s">
        <v>27</v>
      </c>
      <c r="E350" t="s">
        <v>64</v>
      </c>
      <c r="F350" t="s">
        <v>21</v>
      </c>
      <c r="G350">
        <v>25</v>
      </c>
      <c r="H350">
        <v>1666</v>
      </c>
      <c r="I350">
        <v>41650</v>
      </c>
      <c r="J350">
        <v>174</v>
      </c>
      <c r="K350">
        <v>8</v>
      </c>
      <c r="L350" t="s">
        <v>17</v>
      </c>
      <c r="M350" t="str">
        <f t="shared" si="10"/>
        <v>Available</v>
      </c>
      <c r="N350">
        <f t="shared" si="11"/>
        <v>8330</v>
      </c>
    </row>
    <row r="351" spans="1:14" x14ac:dyDescent="0.3">
      <c r="A351" t="s">
        <v>391</v>
      </c>
      <c r="B351" s="1">
        <v>45885</v>
      </c>
      <c r="C351" t="s">
        <v>13</v>
      </c>
      <c r="D351" t="s">
        <v>51</v>
      </c>
      <c r="E351" t="s">
        <v>52</v>
      </c>
      <c r="F351" t="s">
        <v>16</v>
      </c>
      <c r="G351">
        <v>10</v>
      </c>
      <c r="H351">
        <v>2220</v>
      </c>
      <c r="I351">
        <v>22200</v>
      </c>
      <c r="J351">
        <v>92</v>
      </c>
      <c r="K351">
        <v>2</v>
      </c>
      <c r="L351" t="s">
        <v>22</v>
      </c>
      <c r="M351" t="str">
        <f t="shared" si="10"/>
        <v>Available</v>
      </c>
      <c r="N351">
        <f t="shared" si="11"/>
        <v>4440</v>
      </c>
    </row>
    <row r="352" spans="1:14" x14ac:dyDescent="0.3">
      <c r="A352" t="s">
        <v>392</v>
      </c>
      <c r="B352" s="1">
        <v>45798</v>
      </c>
      <c r="C352" t="s">
        <v>38</v>
      </c>
      <c r="D352" t="s">
        <v>14</v>
      </c>
      <c r="E352" t="s">
        <v>15</v>
      </c>
      <c r="F352" t="s">
        <v>29</v>
      </c>
      <c r="G352">
        <v>4</v>
      </c>
      <c r="H352">
        <v>4282</v>
      </c>
      <c r="I352">
        <v>17128</v>
      </c>
      <c r="J352">
        <v>105</v>
      </c>
      <c r="K352">
        <v>7</v>
      </c>
      <c r="L352" t="s">
        <v>17</v>
      </c>
      <c r="M352" t="str">
        <f t="shared" si="10"/>
        <v>Available</v>
      </c>
      <c r="N352">
        <f t="shared" si="11"/>
        <v>3425.6000000000004</v>
      </c>
    </row>
    <row r="353" spans="1:14" x14ac:dyDescent="0.3">
      <c r="A353" t="s">
        <v>393</v>
      </c>
      <c r="B353" s="1">
        <v>45855</v>
      </c>
      <c r="C353" t="s">
        <v>38</v>
      </c>
      <c r="D353" t="s">
        <v>27</v>
      </c>
      <c r="E353" t="s">
        <v>64</v>
      </c>
      <c r="F353" t="s">
        <v>16</v>
      </c>
      <c r="G353">
        <v>25</v>
      </c>
      <c r="H353">
        <v>2899</v>
      </c>
      <c r="I353">
        <v>72475</v>
      </c>
      <c r="J353">
        <v>25</v>
      </c>
      <c r="K353">
        <v>7</v>
      </c>
      <c r="L353" t="s">
        <v>17</v>
      </c>
      <c r="M353" t="str">
        <f t="shared" si="10"/>
        <v>Reorder</v>
      </c>
      <c r="N353">
        <f t="shared" si="11"/>
        <v>14495</v>
      </c>
    </row>
    <row r="354" spans="1:14" x14ac:dyDescent="0.3">
      <c r="A354" t="s">
        <v>394</v>
      </c>
      <c r="B354" s="1">
        <v>45856</v>
      </c>
      <c r="C354" t="s">
        <v>13</v>
      </c>
      <c r="D354" t="s">
        <v>51</v>
      </c>
      <c r="E354" t="s">
        <v>66</v>
      </c>
      <c r="F354" t="s">
        <v>21</v>
      </c>
      <c r="G354">
        <v>41</v>
      </c>
      <c r="H354">
        <v>3007</v>
      </c>
      <c r="I354">
        <v>123287</v>
      </c>
      <c r="J354">
        <v>230</v>
      </c>
      <c r="K354">
        <v>9</v>
      </c>
      <c r="L354" t="s">
        <v>17</v>
      </c>
      <c r="M354" t="str">
        <f t="shared" si="10"/>
        <v>Available</v>
      </c>
      <c r="N354">
        <f t="shared" si="11"/>
        <v>24657.4</v>
      </c>
    </row>
    <row r="355" spans="1:14" x14ac:dyDescent="0.3">
      <c r="A355" t="s">
        <v>395</v>
      </c>
      <c r="B355" s="1">
        <v>45787</v>
      </c>
      <c r="C355" t="s">
        <v>19</v>
      </c>
      <c r="D355" t="s">
        <v>51</v>
      </c>
      <c r="E355" t="s">
        <v>66</v>
      </c>
      <c r="F355" t="s">
        <v>21</v>
      </c>
      <c r="G355">
        <v>23</v>
      </c>
      <c r="H355">
        <v>3231</v>
      </c>
      <c r="I355">
        <v>74313</v>
      </c>
      <c r="J355">
        <v>15</v>
      </c>
      <c r="K355">
        <v>7</v>
      </c>
      <c r="L355" t="s">
        <v>17</v>
      </c>
      <c r="M355" t="str">
        <f t="shared" si="10"/>
        <v>Reorder</v>
      </c>
      <c r="N355">
        <f t="shared" si="11"/>
        <v>14862.6</v>
      </c>
    </row>
    <row r="356" spans="1:14" x14ac:dyDescent="0.3">
      <c r="A356" t="s">
        <v>396</v>
      </c>
      <c r="B356" s="1">
        <v>46013</v>
      </c>
      <c r="C356" t="s">
        <v>26</v>
      </c>
      <c r="D356" t="s">
        <v>31</v>
      </c>
      <c r="E356" t="s">
        <v>76</v>
      </c>
      <c r="F356" t="s">
        <v>29</v>
      </c>
      <c r="G356">
        <v>23</v>
      </c>
      <c r="H356">
        <v>1325</v>
      </c>
      <c r="I356">
        <v>30475</v>
      </c>
      <c r="J356">
        <v>52</v>
      </c>
      <c r="K356">
        <v>9</v>
      </c>
      <c r="L356" t="s">
        <v>17</v>
      </c>
      <c r="M356" t="str">
        <f t="shared" si="10"/>
        <v>Available</v>
      </c>
      <c r="N356">
        <f t="shared" si="11"/>
        <v>6095</v>
      </c>
    </row>
    <row r="357" spans="1:14" x14ac:dyDescent="0.3">
      <c r="A357" t="s">
        <v>397</v>
      </c>
      <c r="B357" s="1">
        <v>46021</v>
      </c>
      <c r="C357" t="s">
        <v>38</v>
      </c>
      <c r="D357" t="s">
        <v>14</v>
      </c>
      <c r="E357" t="s">
        <v>20</v>
      </c>
      <c r="F357" t="s">
        <v>24</v>
      </c>
      <c r="G357">
        <v>47</v>
      </c>
      <c r="H357">
        <v>3140</v>
      </c>
      <c r="I357">
        <v>147580</v>
      </c>
      <c r="J357">
        <v>157</v>
      </c>
      <c r="K357">
        <v>9</v>
      </c>
      <c r="L357" t="s">
        <v>17</v>
      </c>
      <c r="M357" t="str">
        <f t="shared" si="10"/>
        <v>Available</v>
      </c>
      <c r="N357">
        <f t="shared" si="11"/>
        <v>29516</v>
      </c>
    </row>
    <row r="358" spans="1:14" x14ac:dyDescent="0.3">
      <c r="A358" t="s">
        <v>398</v>
      </c>
      <c r="B358" s="1">
        <v>45935</v>
      </c>
      <c r="C358" t="s">
        <v>38</v>
      </c>
      <c r="D358" t="s">
        <v>27</v>
      </c>
      <c r="E358" t="s">
        <v>83</v>
      </c>
      <c r="F358" t="s">
        <v>16</v>
      </c>
      <c r="G358">
        <v>38</v>
      </c>
      <c r="H358">
        <v>880</v>
      </c>
      <c r="I358">
        <v>33440</v>
      </c>
      <c r="J358">
        <v>202</v>
      </c>
      <c r="K358">
        <v>4</v>
      </c>
      <c r="L358" t="s">
        <v>22</v>
      </c>
      <c r="M358" t="str">
        <f t="shared" si="10"/>
        <v>Available</v>
      </c>
      <c r="N358">
        <f t="shared" si="11"/>
        <v>6688</v>
      </c>
    </row>
    <row r="359" spans="1:14" x14ac:dyDescent="0.3">
      <c r="A359" t="s">
        <v>399</v>
      </c>
      <c r="B359" s="1">
        <v>45710</v>
      </c>
      <c r="C359" t="s">
        <v>13</v>
      </c>
      <c r="D359" t="s">
        <v>14</v>
      </c>
      <c r="E359" t="s">
        <v>15</v>
      </c>
      <c r="F359" t="s">
        <v>21</v>
      </c>
      <c r="G359">
        <v>17</v>
      </c>
      <c r="H359">
        <v>1295</v>
      </c>
      <c r="I359">
        <v>22015</v>
      </c>
      <c r="J359">
        <v>172</v>
      </c>
      <c r="K359">
        <v>5</v>
      </c>
      <c r="L359" t="s">
        <v>22</v>
      </c>
      <c r="M359" t="str">
        <f t="shared" si="10"/>
        <v>Available</v>
      </c>
      <c r="N359">
        <f t="shared" si="11"/>
        <v>4403</v>
      </c>
    </row>
    <row r="360" spans="1:14" x14ac:dyDescent="0.3">
      <c r="A360" t="s">
        <v>400</v>
      </c>
      <c r="B360" s="1">
        <v>45800</v>
      </c>
      <c r="C360" t="s">
        <v>38</v>
      </c>
      <c r="D360" t="s">
        <v>51</v>
      </c>
      <c r="E360" t="s">
        <v>66</v>
      </c>
      <c r="F360" t="s">
        <v>29</v>
      </c>
      <c r="G360">
        <v>19</v>
      </c>
      <c r="H360">
        <v>3284</v>
      </c>
      <c r="I360">
        <v>62396</v>
      </c>
      <c r="J360">
        <v>170</v>
      </c>
      <c r="K360">
        <v>3</v>
      </c>
      <c r="L360" t="s">
        <v>22</v>
      </c>
      <c r="M360" t="str">
        <f t="shared" si="10"/>
        <v>Available</v>
      </c>
      <c r="N360">
        <f t="shared" si="11"/>
        <v>12479.2</v>
      </c>
    </row>
    <row r="361" spans="1:14" x14ac:dyDescent="0.3">
      <c r="A361" t="s">
        <v>401</v>
      </c>
      <c r="B361" s="1">
        <v>45883</v>
      </c>
      <c r="C361" t="s">
        <v>13</v>
      </c>
      <c r="D361" t="s">
        <v>27</v>
      </c>
      <c r="E361" t="s">
        <v>83</v>
      </c>
      <c r="F361" t="s">
        <v>21</v>
      </c>
      <c r="G361">
        <v>39</v>
      </c>
      <c r="H361">
        <v>3725</v>
      </c>
      <c r="I361">
        <v>145275</v>
      </c>
      <c r="J361">
        <v>136</v>
      </c>
      <c r="K361">
        <v>5</v>
      </c>
      <c r="L361" t="s">
        <v>22</v>
      </c>
      <c r="M361" t="str">
        <f t="shared" si="10"/>
        <v>Available</v>
      </c>
      <c r="N361">
        <f t="shared" si="11"/>
        <v>29055</v>
      </c>
    </row>
    <row r="362" spans="1:14" x14ac:dyDescent="0.3">
      <c r="A362" t="s">
        <v>402</v>
      </c>
      <c r="B362" s="1">
        <v>45967</v>
      </c>
      <c r="C362" t="s">
        <v>26</v>
      </c>
      <c r="D362" t="s">
        <v>14</v>
      </c>
      <c r="E362" t="s">
        <v>20</v>
      </c>
      <c r="F362" t="s">
        <v>16</v>
      </c>
      <c r="G362">
        <v>6</v>
      </c>
      <c r="H362">
        <v>1717</v>
      </c>
      <c r="I362">
        <v>10302</v>
      </c>
      <c r="J362">
        <v>61</v>
      </c>
      <c r="K362">
        <v>8</v>
      </c>
      <c r="L362" t="s">
        <v>17</v>
      </c>
      <c r="M362" t="str">
        <f t="shared" si="10"/>
        <v>Available</v>
      </c>
      <c r="N362">
        <f t="shared" si="11"/>
        <v>2060.4</v>
      </c>
    </row>
    <row r="363" spans="1:14" x14ac:dyDescent="0.3">
      <c r="A363" t="s">
        <v>403</v>
      </c>
      <c r="B363" s="1">
        <v>46004</v>
      </c>
      <c r="C363" t="s">
        <v>38</v>
      </c>
      <c r="D363" t="s">
        <v>27</v>
      </c>
      <c r="E363" t="s">
        <v>28</v>
      </c>
      <c r="F363" t="s">
        <v>16</v>
      </c>
      <c r="G363">
        <v>38</v>
      </c>
      <c r="H363">
        <v>4549</v>
      </c>
      <c r="I363">
        <v>172862</v>
      </c>
      <c r="J363">
        <v>80</v>
      </c>
      <c r="K363">
        <v>10</v>
      </c>
      <c r="L363" t="s">
        <v>17</v>
      </c>
      <c r="M363" t="str">
        <f t="shared" si="10"/>
        <v>Available</v>
      </c>
      <c r="N363">
        <f t="shared" si="11"/>
        <v>34572.400000000001</v>
      </c>
    </row>
    <row r="364" spans="1:14" x14ac:dyDescent="0.3">
      <c r="A364" t="s">
        <v>404</v>
      </c>
      <c r="B364" s="1">
        <v>45847</v>
      </c>
      <c r="C364" t="s">
        <v>38</v>
      </c>
      <c r="D364" t="s">
        <v>31</v>
      </c>
      <c r="E364" t="s">
        <v>32</v>
      </c>
      <c r="F364" t="s">
        <v>24</v>
      </c>
      <c r="G364">
        <v>21</v>
      </c>
      <c r="H364">
        <v>2032</v>
      </c>
      <c r="I364">
        <v>42672</v>
      </c>
      <c r="J364">
        <v>271</v>
      </c>
      <c r="K364">
        <v>5</v>
      </c>
      <c r="L364" t="s">
        <v>22</v>
      </c>
      <c r="M364" t="str">
        <f t="shared" si="10"/>
        <v>Available</v>
      </c>
      <c r="N364">
        <f t="shared" si="11"/>
        <v>8534.4</v>
      </c>
    </row>
    <row r="365" spans="1:14" x14ac:dyDescent="0.3">
      <c r="A365" t="s">
        <v>405</v>
      </c>
      <c r="B365" s="1">
        <v>45969</v>
      </c>
      <c r="C365" t="s">
        <v>13</v>
      </c>
      <c r="D365" t="s">
        <v>51</v>
      </c>
      <c r="E365" t="s">
        <v>56</v>
      </c>
      <c r="F365" t="s">
        <v>16</v>
      </c>
      <c r="G365">
        <v>1</v>
      </c>
      <c r="H365">
        <v>4857</v>
      </c>
      <c r="I365">
        <v>4857</v>
      </c>
      <c r="J365">
        <v>30</v>
      </c>
      <c r="K365">
        <v>7</v>
      </c>
      <c r="L365" t="s">
        <v>17</v>
      </c>
      <c r="M365" t="str">
        <f t="shared" si="10"/>
        <v>Reorder</v>
      </c>
      <c r="N365">
        <f t="shared" si="11"/>
        <v>971.40000000000009</v>
      </c>
    </row>
    <row r="366" spans="1:14" x14ac:dyDescent="0.3">
      <c r="A366" t="s">
        <v>406</v>
      </c>
      <c r="B366" s="1">
        <v>45675</v>
      </c>
      <c r="C366" t="s">
        <v>26</v>
      </c>
      <c r="D366" t="s">
        <v>14</v>
      </c>
      <c r="E366" t="s">
        <v>42</v>
      </c>
      <c r="F366" t="s">
        <v>21</v>
      </c>
      <c r="G366">
        <v>24</v>
      </c>
      <c r="H366">
        <v>4952</v>
      </c>
      <c r="I366">
        <v>118848</v>
      </c>
      <c r="J366">
        <v>244</v>
      </c>
      <c r="K366">
        <v>9</v>
      </c>
      <c r="L366" t="s">
        <v>17</v>
      </c>
      <c r="M366" t="str">
        <f t="shared" si="10"/>
        <v>Available</v>
      </c>
      <c r="N366">
        <f t="shared" si="11"/>
        <v>23769.600000000002</v>
      </c>
    </row>
    <row r="367" spans="1:14" x14ac:dyDescent="0.3">
      <c r="A367" t="s">
        <v>407</v>
      </c>
      <c r="B367" s="1">
        <v>45951</v>
      </c>
      <c r="C367" t="s">
        <v>19</v>
      </c>
      <c r="D367" t="s">
        <v>27</v>
      </c>
      <c r="E367" t="s">
        <v>83</v>
      </c>
      <c r="F367" t="s">
        <v>16</v>
      </c>
      <c r="G367">
        <v>49</v>
      </c>
      <c r="H367">
        <v>2070</v>
      </c>
      <c r="I367">
        <v>101430</v>
      </c>
      <c r="J367">
        <v>233</v>
      </c>
      <c r="K367">
        <v>6</v>
      </c>
      <c r="L367" t="s">
        <v>17</v>
      </c>
      <c r="M367" t="str">
        <f t="shared" si="10"/>
        <v>Available</v>
      </c>
      <c r="N367">
        <f t="shared" si="11"/>
        <v>20286</v>
      </c>
    </row>
    <row r="368" spans="1:14" x14ac:dyDescent="0.3">
      <c r="A368" t="s">
        <v>408</v>
      </c>
      <c r="B368" s="1">
        <v>45763</v>
      </c>
      <c r="C368" t="s">
        <v>26</v>
      </c>
      <c r="D368" t="s">
        <v>51</v>
      </c>
      <c r="E368" t="s">
        <v>66</v>
      </c>
      <c r="F368" t="s">
        <v>16</v>
      </c>
      <c r="G368">
        <v>3</v>
      </c>
      <c r="H368">
        <v>534</v>
      </c>
      <c r="I368">
        <v>1602</v>
      </c>
      <c r="J368">
        <v>107</v>
      </c>
      <c r="K368">
        <v>10</v>
      </c>
      <c r="L368" t="s">
        <v>17</v>
      </c>
      <c r="M368" t="str">
        <f t="shared" si="10"/>
        <v>Available</v>
      </c>
      <c r="N368">
        <f t="shared" si="11"/>
        <v>320.40000000000003</v>
      </c>
    </row>
    <row r="369" spans="1:14" x14ac:dyDescent="0.3">
      <c r="A369" t="s">
        <v>409</v>
      </c>
      <c r="B369" s="1">
        <v>45970</v>
      </c>
      <c r="C369" t="s">
        <v>13</v>
      </c>
      <c r="D369" t="s">
        <v>27</v>
      </c>
      <c r="E369" t="s">
        <v>34</v>
      </c>
      <c r="F369" t="s">
        <v>29</v>
      </c>
      <c r="G369">
        <v>25</v>
      </c>
      <c r="H369">
        <v>3135</v>
      </c>
      <c r="I369">
        <v>78375</v>
      </c>
      <c r="J369">
        <v>97</v>
      </c>
      <c r="K369">
        <v>6</v>
      </c>
      <c r="L369" t="s">
        <v>17</v>
      </c>
      <c r="M369" t="str">
        <f t="shared" si="10"/>
        <v>Available</v>
      </c>
      <c r="N369">
        <f t="shared" si="11"/>
        <v>15675</v>
      </c>
    </row>
    <row r="370" spans="1:14" x14ac:dyDescent="0.3">
      <c r="A370" t="s">
        <v>410</v>
      </c>
      <c r="B370" s="1">
        <v>45802</v>
      </c>
      <c r="C370" t="s">
        <v>26</v>
      </c>
      <c r="D370" t="s">
        <v>27</v>
      </c>
      <c r="E370" t="s">
        <v>83</v>
      </c>
      <c r="F370" t="s">
        <v>29</v>
      </c>
      <c r="G370">
        <v>44</v>
      </c>
      <c r="H370">
        <v>700</v>
      </c>
      <c r="I370">
        <v>30800</v>
      </c>
      <c r="J370">
        <v>98</v>
      </c>
      <c r="K370">
        <v>4</v>
      </c>
      <c r="L370" t="s">
        <v>22</v>
      </c>
      <c r="M370" t="str">
        <f t="shared" si="10"/>
        <v>Available</v>
      </c>
      <c r="N370">
        <f t="shared" si="11"/>
        <v>6160</v>
      </c>
    </row>
    <row r="371" spans="1:14" x14ac:dyDescent="0.3">
      <c r="A371" t="s">
        <v>411</v>
      </c>
      <c r="B371" s="1">
        <v>45777</v>
      </c>
      <c r="C371" t="s">
        <v>38</v>
      </c>
      <c r="D371" t="s">
        <v>31</v>
      </c>
      <c r="E371" t="s">
        <v>45</v>
      </c>
      <c r="F371" t="s">
        <v>24</v>
      </c>
      <c r="G371">
        <v>45</v>
      </c>
      <c r="H371">
        <v>3087</v>
      </c>
      <c r="I371">
        <v>138915</v>
      </c>
      <c r="J371">
        <v>111</v>
      </c>
      <c r="K371">
        <v>10</v>
      </c>
      <c r="L371" t="s">
        <v>17</v>
      </c>
      <c r="M371" t="str">
        <f t="shared" si="10"/>
        <v>Available</v>
      </c>
      <c r="N371">
        <f t="shared" si="11"/>
        <v>27783</v>
      </c>
    </row>
    <row r="372" spans="1:14" x14ac:dyDescent="0.3">
      <c r="A372" t="s">
        <v>412</v>
      </c>
      <c r="B372" s="1">
        <v>45880</v>
      </c>
      <c r="C372" t="s">
        <v>13</v>
      </c>
      <c r="D372" t="s">
        <v>27</v>
      </c>
      <c r="E372" t="s">
        <v>28</v>
      </c>
      <c r="F372" t="s">
        <v>29</v>
      </c>
      <c r="G372">
        <v>32</v>
      </c>
      <c r="H372">
        <v>997</v>
      </c>
      <c r="I372">
        <v>31904</v>
      </c>
      <c r="J372">
        <v>214</v>
      </c>
      <c r="K372">
        <v>5</v>
      </c>
      <c r="L372" t="s">
        <v>22</v>
      </c>
      <c r="M372" t="str">
        <f t="shared" si="10"/>
        <v>Available</v>
      </c>
      <c r="N372">
        <f t="shared" si="11"/>
        <v>6380.8</v>
      </c>
    </row>
    <row r="373" spans="1:14" x14ac:dyDescent="0.3">
      <c r="A373" t="s">
        <v>413</v>
      </c>
      <c r="B373" s="1">
        <v>45891</v>
      </c>
      <c r="C373" t="s">
        <v>38</v>
      </c>
      <c r="D373" t="s">
        <v>14</v>
      </c>
      <c r="E373" t="s">
        <v>15</v>
      </c>
      <c r="F373" t="s">
        <v>21</v>
      </c>
      <c r="G373">
        <v>13</v>
      </c>
      <c r="H373">
        <v>2074</v>
      </c>
      <c r="I373">
        <v>26962</v>
      </c>
      <c r="J373">
        <v>144</v>
      </c>
      <c r="K373">
        <v>5</v>
      </c>
      <c r="L373" t="s">
        <v>22</v>
      </c>
      <c r="M373" t="str">
        <f t="shared" si="10"/>
        <v>Available</v>
      </c>
      <c r="N373">
        <f t="shared" si="11"/>
        <v>5392.4000000000005</v>
      </c>
    </row>
    <row r="374" spans="1:14" x14ac:dyDescent="0.3">
      <c r="A374" t="s">
        <v>414</v>
      </c>
      <c r="B374" s="1">
        <v>45830</v>
      </c>
      <c r="C374" t="s">
        <v>26</v>
      </c>
      <c r="D374" t="s">
        <v>51</v>
      </c>
      <c r="E374" t="s">
        <v>90</v>
      </c>
      <c r="F374" t="s">
        <v>16</v>
      </c>
      <c r="G374">
        <v>27</v>
      </c>
      <c r="H374">
        <v>3397</v>
      </c>
      <c r="I374">
        <v>91719</v>
      </c>
      <c r="J374">
        <v>230</v>
      </c>
      <c r="K374">
        <v>3</v>
      </c>
      <c r="L374" t="s">
        <v>22</v>
      </c>
      <c r="M374" t="str">
        <f t="shared" si="10"/>
        <v>Available</v>
      </c>
      <c r="N374">
        <f t="shared" si="11"/>
        <v>18343.8</v>
      </c>
    </row>
    <row r="375" spans="1:14" x14ac:dyDescent="0.3">
      <c r="A375" t="s">
        <v>415</v>
      </c>
      <c r="B375" s="1">
        <v>45831</v>
      </c>
      <c r="C375" t="s">
        <v>26</v>
      </c>
      <c r="D375" t="s">
        <v>14</v>
      </c>
      <c r="E375" t="s">
        <v>20</v>
      </c>
      <c r="F375" t="s">
        <v>16</v>
      </c>
      <c r="G375">
        <v>6</v>
      </c>
      <c r="H375">
        <v>794</v>
      </c>
      <c r="I375">
        <v>4764</v>
      </c>
      <c r="J375">
        <v>294</v>
      </c>
      <c r="K375">
        <v>6</v>
      </c>
      <c r="L375" t="s">
        <v>17</v>
      </c>
      <c r="M375" t="str">
        <f t="shared" si="10"/>
        <v>Available</v>
      </c>
      <c r="N375">
        <f t="shared" si="11"/>
        <v>952.80000000000007</v>
      </c>
    </row>
    <row r="376" spans="1:14" x14ac:dyDescent="0.3">
      <c r="A376" t="s">
        <v>416</v>
      </c>
      <c r="B376" s="1">
        <v>45794</v>
      </c>
      <c r="C376" t="s">
        <v>38</v>
      </c>
      <c r="D376" t="s">
        <v>27</v>
      </c>
      <c r="E376" t="s">
        <v>64</v>
      </c>
      <c r="F376" t="s">
        <v>21</v>
      </c>
      <c r="G376">
        <v>33</v>
      </c>
      <c r="H376">
        <v>4064</v>
      </c>
      <c r="I376">
        <v>134112</v>
      </c>
      <c r="J376">
        <v>199</v>
      </c>
      <c r="K376">
        <v>8</v>
      </c>
      <c r="L376" t="s">
        <v>17</v>
      </c>
      <c r="M376" t="str">
        <f t="shared" si="10"/>
        <v>Available</v>
      </c>
      <c r="N376">
        <f t="shared" si="11"/>
        <v>26822.400000000001</v>
      </c>
    </row>
    <row r="377" spans="1:14" x14ac:dyDescent="0.3">
      <c r="A377" t="s">
        <v>417</v>
      </c>
      <c r="B377" s="1">
        <v>45728</v>
      </c>
      <c r="C377" t="s">
        <v>19</v>
      </c>
      <c r="D377" t="s">
        <v>27</v>
      </c>
      <c r="E377" t="s">
        <v>34</v>
      </c>
      <c r="F377" t="s">
        <v>29</v>
      </c>
      <c r="G377">
        <v>3</v>
      </c>
      <c r="H377">
        <v>2513</v>
      </c>
      <c r="I377">
        <v>7539</v>
      </c>
      <c r="J377">
        <v>35</v>
      </c>
      <c r="K377">
        <v>6</v>
      </c>
      <c r="L377" t="s">
        <v>17</v>
      </c>
      <c r="M377" t="str">
        <f t="shared" si="10"/>
        <v>Reorder</v>
      </c>
      <c r="N377">
        <f t="shared" si="11"/>
        <v>1507.8000000000002</v>
      </c>
    </row>
    <row r="378" spans="1:14" x14ac:dyDescent="0.3">
      <c r="A378" t="s">
        <v>418</v>
      </c>
      <c r="B378" s="1">
        <v>45723</v>
      </c>
      <c r="C378" t="s">
        <v>26</v>
      </c>
      <c r="D378" t="s">
        <v>51</v>
      </c>
      <c r="E378" t="s">
        <v>66</v>
      </c>
      <c r="F378" t="s">
        <v>21</v>
      </c>
      <c r="G378">
        <v>40</v>
      </c>
      <c r="H378">
        <v>509</v>
      </c>
      <c r="I378">
        <v>20360</v>
      </c>
      <c r="J378">
        <v>236</v>
      </c>
      <c r="K378">
        <v>2</v>
      </c>
      <c r="L378" t="s">
        <v>22</v>
      </c>
      <c r="M378" t="str">
        <f t="shared" si="10"/>
        <v>Available</v>
      </c>
      <c r="N378">
        <f t="shared" si="11"/>
        <v>4072</v>
      </c>
    </row>
    <row r="379" spans="1:14" x14ac:dyDescent="0.3">
      <c r="A379" t="s">
        <v>419</v>
      </c>
      <c r="B379" s="1">
        <v>45977</v>
      </c>
      <c r="C379" t="s">
        <v>26</v>
      </c>
      <c r="D379" t="s">
        <v>51</v>
      </c>
      <c r="E379" t="s">
        <v>52</v>
      </c>
      <c r="F379" t="s">
        <v>21</v>
      </c>
      <c r="G379">
        <v>26</v>
      </c>
      <c r="H379">
        <v>1934</v>
      </c>
      <c r="I379">
        <v>50284</v>
      </c>
      <c r="J379">
        <v>295</v>
      </c>
      <c r="K379">
        <v>5</v>
      </c>
      <c r="L379" t="s">
        <v>22</v>
      </c>
      <c r="M379" t="str">
        <f t="shared" si="10"/>
        <v>Available</v>
      </c>
      <c r="N379">
        <f t="shared" si="11"/>
        <v>10056.800000000001</v>
      </c>
    </row>
    <row r="380" spans="1:14" x14ac:dyDescent="0.3">
      <c r="A380" t="s">
        <v>420</v>
      </c>
      <c r="B380" s="1">
        <v>45756</v>
      </c>
      <c r="C380" t="s">
        <v>13</v>
      </c>
      <c r="D380" t="s">
        <v>14</v>
      </c>
      <c r="E380" t="s">
        <v>20</v>
      </c>
      <c r="F380" t="s">
        <v>21</v>
      </c>
      <c r="G380">
        <v>21</v>
      </c>
      <c r="H380">
        <v>1156</v>
      </c>
      <c r="I380">
        <v>24276</v>
      </c>
      <c r="J380">
        <v>214</v>
      </c>
      <c r="K380">
        <v>10</v>
      </c>
      <c r="L380" t="s">
        <v>17</v>
      </c>
      <c r="M380" t="str">
        <f t="shared" si="10"/>
        <v>Available</v>
      </c>
      <c r="N380">
        <f t="shared" si="11"/>
        <v>4855.2</v>
      </c>
    </row>
    <row r="381" spans="1:14" x14ac:dyDescent="0.3">
      <c r="A381" t="s">
        <v>421</v>
      </c>
      <c r="B381" s="1">
        <v>45727</v>
      </c>
      <c r="C381" t="s">
        <v>38</v>
      </c>
      <c r="D381" t="s">
        <v>31</v>
      </c>
      <c r="E381" t="s">
        <v>32</v>
      </c>
      <c r="F381" t="s">
        <v>21</v>
      </c>
      <c r="G381">
        <v>5</v>
      </c>
      <c r="H381">
        <v>3899</v>
      </c>
      <c r="I381">
        <v>19495</v>
      </c>
      <c r="J381">
        <v>90</v>
      </c>
      <c r="K381">
        <v>8</v>
      </c>
      <c r="L381" t="s">
        <v>17</v>
      </c>
      <c r="M381" t="str">
        <f t="shared" si="10"/>
        <v>Available</v>
      </c>
      <c r="N381">
        <f t="shared" si="11"/>
        <v>3899</v>
      </c>
    </row>
    <row r="382" spans="1:14" x14ac:dyDescent="0.3">
      <c r="A382" t="s">
        <v>422</v>
      </c>
      <c r="B382" s="1">
        <v>45701</v>
      </c>
      <c r="C382" t="s">
        <v>13</v>
      </c>
      <c r="D382" t="s">
        <v>27</v>
      </c>
      <c r="E382" t="s">
        <v>83</v>
      </c>
      <c r="F382" t="s">
        <v>29</v>
      </c>
      <c r="G382">
        <v>43</v>
      </c>
      <c r="H382">
        <v>2625</v>
      </c>
      <c r="I382">
        <v>112875</v>
      </c>
      <c r="J382">
        <v>47</v>
      </c>
      <c r="K382">
        <v>9</v>
      </c>
      <c r="L382" t="s">
        <v>17</v>
      </c>
      <c r="M382" t="str">
        <f t="shared" si="10"/>
        <v>Reorder</v>
      </c>
      <c r="N382">
        <f t="shared" si="11"/>
        <v>22575</v>
      </c>
    </row>
    <row r="383" spans="1:14" x14ac:dyDescent="0.3">
      <c r="A383" t="s">
        <v>423</v>
      </c>
      <c r="B383" s="1">
        <v>45825</v>
      </c>
      <c r="C383" t="s">
        <v>38</v>
      </c>
      <c r="D383" t="s">
        <v>27</v>
      </c>
      <c r="E383" t="s">
        <v>34</v>
      </c>
      <c r="F383" t="s">
        <v>21</v>
      </c>
      <c r="G383">
        <v>33</v>
      </c>
      <c r="H383">
        <v>2585</v>
      </c>
      <c r="I383">
        <v>85305</v>
      </c>
      <c r="J383">
        <v>141</v>
      </c>
      <c r="K383">
        <v>4</v>
      </c>
      <c r="L383" t="s">
        <v>22</v>
      </c>
      <c r="M383" t="str">
        <f t="shared" si="10"/>
        <v>Available</v>
      </c>
      <c r="N383">
        <f t="shared" si="11"/>
        <v>17061</v>
      </c>
    </row>
    <row r="384" spans="1:14" x14ac:dyDescent="0.3">
      <c r="A384" t="s">
        <v>424</v>
      </c>
      <c r="B384" s="1">
        <v>46020</v>
      </c>
      <c r="C384" t="s">
        <v>13</v>
      </c>
      <c r="D384" t="s">
        <v>27</v>
      </c>
      <c r="E384" t="s">
        <v>28</v>
      </c>
      <c r="F384" t="s">
        <v>16</v>
      </c>
      <c r="G384">
        <v>23</v>
      </c>
      <c r="H384">
        <v>4998</v>
      </c>
      <c r="I384">
        <v>114954</v>
      </c>
      <c r="J384">
        <v>235</v>
      </c>
      <c r="K384">
        <v>6</v>
      </c>
      <c r="L384" t="s">
        <v>17</v>
      </c>
      <c r="M384" t="str">
        <f t="shared" si="10"/>
        <v>Available</v>
      </c>
      <c r="N384">
        <f t="shared" si="11"/>
        <v>22990.800000000003</v>
      </c>
    </row>
    <row r="385" spans="1:14" x14ac:dyDescent="0.3">
      <c r="A385" t="s">
        <v>425</v>
      </c>
      <c r="B385" s="1">
        <v>45892</v>
      </c>
      <c r="C385" t="s">
        <v>38</v>
      </c>
      <c r="D385" t="s">
        <v>31</v>
      </c>
      <c r="E385" t="s">
        <v>76</v>
      </c>
      <c r="F385" t="s">
        <v>24</v>
      </c>
      <c r="G385">
        <v>17</v>
      </c>
      <c r="H385">
        <v>749</v>
      </c>
      <c r="I385">
        <v>12733</v>
      </c>
      <c r="J385">
        <v>280</v>
      </c>
      <c r="K385">
        <v>5</v>
      </c>
      <c r="L385" t="s">
        <v>22</v>
      </c>
      <c r="M385" t="str">
        <f t="shared" si="10"/>
        <v>Available</v>
      </c>
      <c r="N385">
        <f t="shared" si="11"/>
        <v>2546.6000000000004</v>
      </c>
    </row>
    <row r="386" spans="1:14" x14ac:dyDescent="0.3">
      <c r="A386" t="s">
        <v>426</v>
      </c>
      <c r="B386" s="1">
        <v>45847</v>
      </c>
      <c r="C386" t="s">
        <v>13</v>
      </c>
      <c r="D386" t="s">
        <v>51</v>
      </c>
      <c r="E386" t="s">
        <v>52</v>
      </c>
      <c r="F386" t="s">
        <v>21</v>
      </c>
      <c r="G386">
        <v>46</v>
      </c>
      <c r="H386">
        <v>2293</v>
      </c>
      <c r="I386">
        <v>105478</v>
      </c>
      <c r="J386">
        <v>215</v>
      </c>
      <c r="K386">
        <v>7</v>
      </c>
      <c r="L386" t="s">
        <v>17</v>
      </c>
      <c r="M386" t="str">
        <f t="shared" si="10"/>
        <v>Available</v>
      </c>
      <c r="N386">
        <f t="shared" si="11"/>
        <v>21095.600000000002</v>
      </c>
    </row>
    <row r="387" spans="1:14" x14ac:dyDescent="0.3">
      <c r="A387" t="s">
        <v>427</v>
      </c>
      <c r="B387" s="1">
        <v>46019</v>
      </c>
      <c r="C387" t="s">
        <v>19</v>
      </c>
      <c r="D387" t="s">
        <v>14</v>
      </c>
      <c r="E387" t="s">
        <v>20</v>
      </c>
      <c r="F387" t="s">
        <v>24</v>
      </c>
      <c r="G387">
        <v>31</v>
      </c>
      <c r="H387">
        <v>4069</v>
      </c>
      <c r="I387">
        <v>126139</v>
      </c>
      <c r="J387">
        <v>284</v>
      </c>
      <c r="K387">
        <v>10</v>
      </c>
      <c r="L387" t="s">
        <v>17</v>
      </c>
      <c r="M387" t="str">
        <f t="shared" ref="M387:M450" si="12">IF(J387&lt;50,"Reorder","Available")</f>
        <v>Available</v>
      </c>
      <c r="N387">
        <f t="shared" ref="N387:N450" si="13">I387*20%</f>
        <v>25227.800000000003</v>
      </c>
    </row>
    <row r="388" spans="1:14" x14ac:dyDescent="0.3">
      <c r="A388" t="s">
        <v>428</v>
      </c>
      <c r="B388" s="1">
        <v>45736</v>
      </c>
      <c r="C388" t="s">
        <v>19</v>
      </c>
      <c r="D388" t="s">
        <v>51</v>
      </c>
      <c r="E388" t="s">
        <v>66</v>
      </c>
      <c r="F388" t="s">
        <v>21</v>
      </c>
      <c r="G388">
        <v>2</v>
      </c>
      <c r="H388">
        <v>4828</v>
      </c>
      <c r="I388">
        <v>9656</v>
      </c>
      <c r="J388">
        <v>151</v>
      </c>
      <c r="K388">
        <v>4</v>
      </c>
      <c r="L388" t="s">
        <v>22</v>
      </c>
      <c r="M388" t="str">
        <f t="shared" si="12"/>
        <v>Available</v>
      </c>
      <c r="N388">
        <f t="shared" si="13"/>
        <v>1931.2</v>
      </c>
    </row>
    <row r="389" spans="1:14" x14ac:dyDescent="0.3">
      <c r="A389" t="s">
        <v>429</v>
      </c>
      <c r="B389" s="1">
        <v>45739</v>
      </c>
      <c r="C389" t="s">
        <v>26</v>
      </c>
      <c r="D389" t="s">
        <v>27</v>
      </c>
      <c r="E389" t="s">
        <v>83</v>
      </c>
      <c r="F389" t="s">
        <v>16</v>
      </c>
      <c r="G389">
        <v>6</v>
      </c>
      <c r="H389">
        <v>959</v>
      </c>
      <c r="I389">
        <v>5754</v>
      </c>
      <c r="J389">
        <v>27</v>
      </c>
      <c r="K389">
        <v>3</v>
      </c>
      <c r="L389" t="s">
        <v>22</v>
      </c>
      <c r="M389" t="str">
        <f t="shared" si="12"/>
        <v>Reorder</v>
      </c>
      <c r="N389">
        <f t="shared" si="13"/>
        <v>1150.8</v>
      </c>
    </row>
    <row r="390" spans="1:14" x14ac:dyDescent="0.3">
      <c r="A390" t="s">
        <v>430</v>
      </c>
      <c r="B390" s="1">
        <v>45955</v>
      </c>
      <c r="C390" t="s">
        <v>38</v>
      </c>
      <c r="D390" t="s">
        <v>51</v>
      </c>
      <c r="E390" t="s">
        <v>66</v>
      </c>
      <c r="F390" t="s">
        <v>21</v>
      </c>
      <c r="G390">
        <v>16</v>
      </c>
      <c r="H390">
        <v>1993</v>
      </c>
      <c r="I390">
        <v>31888</v>
      </c>
      <c r="J390">
        <v>223</v>
      </c>
      <c r="K390">
        <v>7</v>
      </c>
      <c r="L390" t="s">
        <v>17</v>
      </c>
      <c r="M390" t="str">
        <f t="shared" si="12"/>
        <v>Available</v>
      </c>
      <c r="N390">
        <f t="shared" si="13"/>
        <v>6377.6</v>
      </c>
    </row>
    <row r="391" spans="1:14" x14ac:dyDescent="0.3">
      <c r="A391" t="s">
        <v>431</v>
      </c>
      <c r="B391" s="1">
        <v>45857</v>
      </c>
      <c r="C391" t="s">
        <v>26</v>
      </c>
      <c r="D391" t="s">
        <v>14</v>
      </c>
      <c r="E391" t="s">
        <v>15</v>
      </c>
      <c r="F391" t="s">
        <v>16</v>
      </c>
      <c r="G391">
        <v>9</v>
      </c>
      <c r="H391">
        <v>2186</v>
      </c>
      <c r="I391">
        <v>19674</v>
      </c>
      <c r="J391">
        <v>228</v>
      </c>
      <c r="K391">
        <v>3</v>
      </c>
      <c r="L391" t="s">
        <v>22</v>
      </c>
      <c r="M391" t="str">
        <f t="shared" si="12"/>
        <v>Available</v>
      </c>
      <c r="N391">
        <f t="shared" si="13"/>
        <v>3934.8</v>
      </c>
    </row>
    <row r="392" spans="1:14" x14ac:dyDescent="0.3">
      <c r="A392" t="s">
        <v>432</v>
      </c>
      <c r="B392" s="1">
        <v>45818</v>
      </c>
      <c r="C392" t="s">
        <v>13</v>
      </c>
      <c r="D392" t="s">
        <v>14</v>
      </c>
      <c r="E392" t="s">
        <v>42</v>
      </c>
      <c r="F392" t="s">
        <v>16</v>
      </c>
      <c r="G392">
        <v>46</v>
      </c>
      <c r="H392">
        <v>3757</v>
      </c>
      <c r="I392">
        <v>172822</v>
      </c>
      <c r="J392">
        <v>279</v>
      </c>
      <c r="K392">
        <v>7</v>
      </c>
      <c r="L392" t="s">
        <v>17</v>
      </c>
      <c r="M392" t="str">
        <f t="shared" si="12"/>
        <v>Available</v>
      </c>
      <c r="N392">
        <f t="shared" si="13"/>
        <v>34564.400000000001</v>
      </c>
    </row>
    <row r="393" spans="1:14" x14ac:dyDescent="0.3">
      <c r="A393" t="s">
        <v>433</v>
      </c>
      <c r="B393" s="1">
        <v>45739</v>
      </c>
      <c r="C393" t="s">
        <v>13</v>
      </c>
      <c r="D393" t="s">
        <v>27</v>
      </c>
      <c r="E393" t="s">
        <v>64</v>
      </c>
      <c r="F393" t="s">
        <v>21</v>
      </c>
      <c r="G393">
        <v>15</v>
      </c>
      <c r="H393">
        <v>4751</v>
      </c>
      <c r="I393">
        <v>71265</v>
      </c>
      <c r="J393">
        <v>220</v>
      </c>
      <c r="K393">
        <v>6</v>
      </c>
      <c r="L393" t="s">
        <v>17</v>
      </c>
      <c r="M393" t="str">
        <f t="shared" si="12"/>
        <v>Available</v>
      </c>
      <c r="N393">
        <f t="shared" si="13"/>
        <v>14253</v>
      </c>
    </row>
    <row r="394" spans="1:14" x14ac:dyDescent="0.3">
      <c r="A394" t="s">
        <v>434</v>
      </c>
      <c r="B394" s="1">
        <v>46020</v>
      </c>
      <c r="C394" t="s">
        <v>26</v>
      </c>
      <c r="D394" t="s">
        <v>51</v>
      </c>
      <c r="E394" t="s">
        <v>52</v>
      </c>
      <c r="F394" t="s">
        <v>29</v>
      </c>
      <c r="G394">
        <v>44</v>
      </c>
      <c r="H394">
        <v>4852</v>
      </c>
      <c r="I394">
        <v>213488</v>
      </c>
      <c r="J394">
        <v>182</v>
      </c>
      <c r="K394">
        <v>7</v>
      </c>
      <c r="L394" t="s">
        <v>17</v>
      </c>
      <c r="M394" t="str">
        <f t="shared" si="12"/>
        <v>Available</v>
      </c>
      <c r="N394">
        <f t="shared" si="13"/>
        <v>42697.600000000006</v>
      </c>
    </row>
    <row r="395" spans="1:14" x14ac:dyDescent="0.3">
      <c r="A395" t="s">
        <v>435</v>
      </c>
      <c r="B395" s="1">
        <v>45820</v>
      </c>
      <c r="C395" t="s">
        <v>13</v>
      </c>
      <c r="D395" t="s">
        <v>14</v>
      </c>
      <c r="E395" t="s">
        <v>42</v>
      </c>
      <c r="F395" t="s">
        <v>21</v>
      </c>
      <c r="G395">
        <v>28</v>
      </c>
      <c r="H395">
        <v>3038</v>
      </c>
      <c r="I395">
        <v>85064</v>
      </c>
      <c r="J395">
        <v>249</v>
      </c>
      <c r="K395">
        <v>8</v>
      </c>
      <c r="L395" t="s">
        <v>17</v>
      </c>
      <c r="M395" t="str">
        <f t="shared" si="12"/>
        <v>Available</v>
      </c>
      <c r="N395">
        <f t="shared" si="13"/>
        <v>17012.8</v>
      </c>
    </row>
    <row r="396" spans="1:14" x14ac:dyDescent="0.3">
      <c r="A396" t="s">
        <v>436</v>
      </c>
      <c r="B396" s="1">
        <v>45776</v>
      </c>
      <c r="C396" t="s">
        <v>38</v>
      </c>
      <c r="D396" t="s">
        <v>27</v>
      </c>
      <c r="E396" t="s">
        <v>28</v>
      </c>
      <c r="F396" t="s">
        <v>21</v>
      </c>
      <c r="G396">
        <v>40</v>
      </c>
      <c r="H396">
        <v>1542</v>
      </c>
      <c r="I396">
        <v>61680</v>
      </c>
      <c r="J396">
        <v>297</v>
      </c>
      <c r="K396">
        <v>2</v>
      </c>
      <c r="L396" t="s">
        <v>22</v>
      </c>
      <c r="M396" t="str">
        <f t="shared" si="12"/>
        <v>Available</v>
      </c>
      <c r="N396">
        <f t="shared" si="13"/>
        <v>12336</v>
      </c>
    </row>
    <row r="397" spans="1:14" x14ac:dyDescent="0.3">
      <c r="A397" t="s">
        <v>437</v>
      </c>
      <c r="B397" s="1">
        <v>45801</v>
      </c>
      <c r="C397" t="s">
        <v>19</v>
      </c>
      <c r="D397" t="s">
        <v>31</v>
      </c>
      <c r="E397" t="s">
        <v>32</v>
      </c>
      <c r="F397" t="s">
        <v>21</v>
      </c>
      <c r="G397">
        <v>31</v>
      </c>
      <c r="H397">
        <v>2524</v>
      </c>
      <c r="I397">
        <v>78244</v>
      </c>
      <c r="J397">
        <v>291</v>
      </c>
      <c r="K397">
        <v>3</v>
      </c>
      <c r="L397" t="s">
        <v>22</v>
      </c>
      <c r="M397" t="str">
        <f t="shared" si="12"/>
        <v>Available</v>
      </c>
      <c r="N397">
        <f t="shared" si="13"/>
        <v>15648.800000000001</v>
      </c>
    </row>
    <row r="398" spans="1:14" x14ac:dyDescent="0.3">
      <c r="A398" t="s">
        <v>438</v>
      </c>
      <c r="B398" s="1">
        <v>45736</v>
      </c>
      <c r="C398" t="s">
        <v>26</v>
      </c>
      <c r="D398" t="s">
        <v>51</v>
      </c>
      <c r="E398" t="s">
        <v>52</v>
      </c>
      <c r="F398" t="s">
        <v>29</v>
      </c>
      <c r="G398">
        <v>37</v>
      </c>
      <c r="H398">
        <v>1820</v>
      </c>
      <c r="I398">
        <v>67340</v>
      </c>
      <c r="J398">
        <v>158</v>
      </c>
      <c r="K398">
        <v>7</v>
      </c>
      <c r="L398" t="s">
        <v>17</v>
      </c>
      <c r="M398" t="str">
        <f t="shared" si="12"/>
        <v>Available</v>
      </c>
      <c r="N398">
        <f t="shared" si="13"/>
        <v>13468</v>
      </c>
    </row>
    <row r="399" spans="1:14" x14ac:dyDescent="0.3">
      <c r="A399" t="s">
        <v>439</v>
      </c>
      <c r="B399" s="1">
        <v>45910</v>
      </c>
      <c r="C399" t="s">
        <v>38</v>
      </c>
      <c r="D399" t="s">
        <v>14</v>
      </c>
      <c r="E399" t="s">
        <v>58</v>
      </c>
      <c r="F399" t="s">
        <v>29</v>
      </c>
      <c r="G399">
        <v>15</v>
      </c>
      <c r="H399">
        <v>3518</v>
      </c>
      <c r="I399">
        <v>52770</v>
      </c>
      <c r="J399">
        <v>127</v>
      </c>
      <c r="K399">
        <v>9</v>
      </c>
      <c r="L399" t="s">
        <v>17</v>
      </c>
      <c r="M399" t="str">
        <f t="shared" si="12"/>
        <v>Available</v>
      </c>
      <c r="N399">
        <f t="shared" si="13"/>
        <v>10554</v>
      </c>
    </row>
    <row r="400" spans="1:14" x14ac:dyDescent="0.3">
      <c r="A400" t="s">
        <v>440</v>
      </c>
      <c r="B400" s="1">
        <v>46007</v>
      </c>
      <c r="C400" t="s">
        <v>19</v>
      </c>
      <c r="D400" t="s">
        <v>27</v>
      </c>
      <c r="E400" t="s">
        <v>28</v>
      </c>
      <c r="F400" t="s">
        <v>29</v>
      </c>
      <c r="G400">
        <v>23</v>
      </c>
      <c r="H400">
        <v>1502</v>
      </c>
      <c r="I400">
        <v>34546</v>
      </c>
      <c r="J400">
        <v>63</v>
      </c>
      <c r="K400">
        <v>4</v>
      </c>
      <c r="L400" t="s">
        <v>22</v>
      </c>
      <c r="M400" t="str">
        <f t="shared" si="12"/>
        <v>Available</v>
      </c>
      <c r="N400">
        <f t="shared" si="13"/>
        <v>6909.2000000000007</v>
      </c>
    </row>
    <row r="401" spans="1:14" x14ac:dyDescent="0.3">
      <c r="A401" t="s">
        <v>441</v>
      </c>
      <c r="B401" s="1">
        <v>45931</v>
      </c>
      <c r="C401" t="s">
        <v>38</v>
      </c>
      <c r="D401" t="s">
        <v>51</v>
      </c>
      <c r="E401" t="s">
        <v>52</v>
      </c>
      <c r="F401" t="s">
        <v>16</v>
      </c>
      <c r="G401">
        <v>4</v>
      </c>
      <c r="H401">
        <v>1991</v>
      </c>
      <c r="I401">
        <v>7964</v>
      </c>
      <c r="J401">
        <v>151</v>
      </c>
      <c r="K401">
        <v>2</v>
      </c>
      <c r="L401" t="s">
        <v>22</v>
      </c>
      <c r="M401" t="str">
        <f t="shared" si="12"/>
        <v>Available</v>
      </c>
      <c r="N401">
        <f t="shared" si="13"/>
        <v>1592.8000000000002</v>
      </c>
    </row>
    <row r="402" spans="1:14" x14ac:dyDescent="0.3">
      <c r="A402" t="s">
        <v>442</v>
      </c>
      <c r="B402" s="1">
        <v>45669</v>
      </c>
      <c r="C402" t="s">
        <v>38</v>
      </c>
      <c r="D402" t="s">
        <v>14</v>
      </c>
      <c r="E402" t="s">
        <v>58</v>
      </c>
      <c r="F402" t="s">
        <v>16</v>
      </c>
      <c r="G402">
        <v>30</v>
      </c>
      <c r="H402">
        <v>523</v>
      </c>
      <c r="I402">
        <v>15690</v>
      </c>
      <c r="J402">
        <v>12</v>
      </c>
      <c r="K402">
        <v>5</v>
      </c>
      <c r="L402" t="s">
        <v>22</v>
      </c>
      <c r="M402" t="str">
        <f t="shared" si="12"/>
        <v>Reorder</v>
      </c>
      <c r="N402">
        <f t="shared" si="13"/>
        <v>3138</v>
      </c>
    </row>
    <row r="403" spans="1:14" x14ac:dyDescent="0.3">
      <c r="A403" t="s">
        <v>443</v>
      </c>
      <c r="B403" s="1">
        <v>45895</v>
      </c>
      <c r="C403" t="s">
        <v>26</v>
      </c>
      <c r="D403" t="s">
        <v>14</v>
      </c>
      <c r="E403" t="s">
        <v>58</v>
      </c>
      <c r="F403" t="s">
        <v>21</v>
      </c>
      <c r="G403">
        <v>26</v>
      </c>
      <c r="H403">
        <v>4722</v>
      </c>
      <c r="I403">
        <v>122772</v>
      </c>
      <c r="J403">
        <v>54</v>
      </c>
      <c r="K403">
        <v>10</v>
      </c>
      <c r="L403" t="s">
        <v>17</v>
      </c>
      <c r="M403" t="str">
        <f t="shared" si="12"/>
        <v>Available</v>
      </c>
      <c r="N403">
        <f t="shared" si="13"/>
        <v>24554.400000000001</v>
      </c>
    </row>
    <row r="404" spans="1:14" x14ac:dyDescent="0.3">
      <c r="A404" t="s">
        <v>444</v>
      </c>
      <c r="B404" s="1">
        <v>45764</v>
      </c>
      <c r="C404" t="s">
        <v>26</v>
      </c>
      <c r="D404" t="s">
        <v>31</v>
      </c>
      <c r="E404" t="s">
        <v>32</v>
      </c>
      <c r="F404" t="s">
        <v>29</v>
      </c>
      <c r="G404">
        <v>42</v>
      </c>
      <c r="H404">
        <v>3037</v>
      </c>
      <c r="I404">
        <v>127554</v>
      </c>
      <c r="J404">
        <v>99</v>
      </c>
      <c r="K404">
        <v>2</v>
      </c>
      <c r="L404" t="s">
        <v>22</v>
      </c>
      <c r="M404" t="str">
        <f t="shared" si="12"/>
        <v>Available</v>
      </c>
      <c r="N404">
        <f t="shared" si="13"/>
        <v>25510.800000000003</v>
      </c>
    </row>
    <row r="405" spans="1:14" x14ac:dyDescent="0.3">
      <c r="A405" t="s">
        <v>445</v>
      </c>
      <c r="B405" s="1">
        <v>45741</v>
      </c>
      <c r="C405" t="s">
        <v>13</v>
      </c>
      <c r="D405" t="s">
        <v>27</v>
      </c>
      <c r="E405" t="s">
        <v>83</v>
      </c>
      <c r="F405" t="s">
        <v>21</v>
      </c>
      <c r="G405">
        <v>10</v>
      </c>
      <c r="H405">
        <v>3381</v>
      </c>
      <c r="I405">
        <v>33810</v>
      </c>
      <c r="J405">
        <v>103</v>
      </c>
      <c r="K405">
        <v>2</v>
      </c>
      <c r="L405" t="s">
        <v>22</v>
      </c>
      <c r="M405" t="str">
        <f t="shared" si="12"/>
        <v>Available</v>
      </c>
      <c r="N405">
        <f t="shared" si="13"/>
        <v>6762</v>
      </c>
    </row>
    <row r="406" spans="1:14" x14ac:dyDescent="0.3">
      <c r="A406" t="s">
        <v>446</v>
      </c>
      <c r="B406" s="1">
        <v>45900</v>
      </c>
      <c r="C406" t="s">
        <v>13</v>
      </c>
      <c r="D406" t="s">
        <v>51</v>
      </c>
      <c r="E406" t="s">
        <v>56</v>
      </c>
      <c r="F406" t="s">
        <v>29</v>
      </c>
      <c r="G406">
        <v>12</v>
      </c>
      <c r="H406">
        <v>1065</v>
      </c>
      <c r="I406">
        <v>12780</v>
      </c>
      <c r="J406">
        <v>261</v>
      </c>
      <c r="K406">
        <v>3</v>
      </c>
      <c r="L406" t="s">
        <v>22</v>
      </c>
      <c r="M406" t="str">
        <f t="shared" si="12"/>
        <v>Available</v>
      </c>
      <c r="N406">
        <f t="shared" si="13"/>
        <v>2556</v>
      </c>
    </row>
    <row r="407" spans="1:14" x14ac:dyDescent="0.3">
      <c r="A407" t="s">
        <v>447</v>
      </c>
      <c r="B407" s="1">
        <v>46013</v>
      </c>
      <c r="C407" t="s">
        <v>19</v>
      </c>
      <c r="D407" t="s">
        <v>31</v>
      </c>
      <c r="E407" t="s">
        <v>76</v>
      </c>
      <c r="F407" t="s">
        <v>21</v>
      </c>
      <c r="G407">
        <v>9</v>
      </c>
      <c r="H407">
        <v>620</v>
      </c>
      <c r="I407">
        <v>5580</v>
      </c>
      <c r="J407">
        <v>195</v>
      </c>
      <c r="K407">
        <v>2</v>
      </c>
      <c r="L407" t="s">
        <v>22</v>
      </c>
      <c r="M407" t="str">
        <f t="shared" si="12"/>
        <v>Available</v>
      </c>
      <c r="N407">
        <f t="shared" si="13"/>
        <v>1116</v>
      </c>
    </row>
    <row r="408" spans="1:14" x14ac:dyDescent="0.3">
      <c r="A408" t="s">
        <v>448</v>
      </c>
      <c r="B408" s="1">
        <v>45928</v>
      </c>
      <c r="C408" t="s">
        <v>26</v>
      </c>
      <c r="D408" t="s">
        <v>14</v>
      </c>
      <c r="E408" t="s">
        <v>42</v>
      </c>
      <c r="F408" t="s">
        <v>29</v>
      </c>
      <c r="G408">
        <v>21</v>
      </c>
      <c r="H408">
        <v>2755</v>
      </c>
      <c r="I408">
        <v>57855</v>
      </c>
      <c r="J408">
        <v>59</v>
      </c>
      <c r="K408">
        <v>3</v>
      </c>
      <c r="L408" t="s">
        <v>22</v>
      </c>
      <c r="M408" t="str">
        <f t="shared" si="12"/>
        <v>Available</v>
      </c>
      <c r="N408">
        <f t="shared" si="13"/>
        <v>11571</v>
      </c>
    </row>
    <row r="409" spans="1:14" x14ac:dyDescent="0.3">
      <c r="A409" t="s">
        <v>449</v>
      </c>
      <c r="B409" s="1">
        <v>45823</v>
      </c>
      <c r="C409" t="s">
        <v>13</v>
      </c>
      <c r="D409" t="s">
        <v>27</v>
      </c>
      <c r="E409" t="s">
        <v>28</v>
      </c>
      <c r="F409" t="s">
        <v>29</v>
      </c>
      <c r="G409">
        <v>10</v>
      </c>
      <c r="H409">
        <v>4760</v>
      </c>
      <c r="I409">
        <v>47600</v>
      </c>
      <c r="J409">
        <v>235</v>
      </c>
      <c r="K409">
        <v>10</v>
      </c>
      <c r="L409" t="s">
        <v>17</v>
      </c>
      <c r="M409" t="str">
        <f t="shared" si="12"/>
        <v>Available</v>
      </c>
      <c r="N409">
        <f t="shared" si="13"/>
        <v>9520</v>
      </c>
    </row>
    <row r="410" spans="1:14" x14ac:dyDescent="0.3">
      <c r="A410" t="s">
        <v>450</v>
      </c>
      <c r="B410" s="1">
        <v>45774</v>
      </c>
      <c r="C410" t="s">
        <v>26</v>
      </c>
      <c r="D410" t="s">
        <v>51</v>
      </c>
      <c r="E410" t="s">
        <v>56</v>
      </c>
      <c r="F410" t="s">
        <v>24</v>
      </c>
      <c r="G410">
        <v>48</v>
      </c>
      <c r="H410">
        <v>2599</v>
      </c>
      <c r="I410">
        <v>124752</v>
      </c>
      <c r="J410">
        <v>221</v>
      </c>
      <c r="K410">
        <v>10</v>
      </c>
      <c r="L410" t="s">
        <v>17</v>
      </c>
      <c r="M410" t="str">
        <f t="shared" si="12"/>
        <v>Available</v>
      </c>
      <c r="N410">
        <f t="shared" si="13"/>
        <v>24950.400000000001</v>
      </c>
    </row>
    <row r="411" spans="1:14" x14ac:dyDescent="0.3">
      <c r="A411" t="s">
        <v>451</v>
      </c>
      <c r="B411" s="1">
        <v>45854</v>
      </c>
      <c r="C411" t="s">
        <v>26</v>
      </c>
      <c r="D411" t="s">
        <v>51</v>
      </c>
      <c r="E411" t="s">
        <v>90</v>
      </c>
      <c r="F411" t="s">
        <v>29</v>
      </c>
      <c r="G411">
        <v>37</v>
      </c>
      <c r="H411">
        <v>2704</v>
      </c>
      <c r="I411">
        <v>100048</v>
      </c>
      <c r="J411">
        <v>245</v>
      </c>
      <c r="K411">
        <v>3</v>
      </c>
      <c r="L411" t="s">
        <v>22</v>
      </c>
      <c r="M411" t="str">
        <f t="shared" si="12"/>
        <v>Available</v>
      </c>
      <c r="N411">
        <f t="shared" si="13"/>
        <v>20009.600000000002</v>
      </c>
    </row>
    <row r="412" spans="1:14" x14ac:dyDescent="0.3">
      <c r="A412" t="s">
        <v>452</v>
      </c>
      <c r="B412" s="1">
        <v>45817</v>
      </c>
      <c r="C412" t="s">
        <v>19</v>
      </c>
      <c r="D412" t="s">
        <v>51</v>
      </c>
      <c r="E412" t="s">
        <v>52</v>
      </c>
      <c r="F412" t="s">
        <v>24</v>
      </c>
      <c r="G412">
        <v>24</v>
      </c>
      <c r="H412">
        <v>870</v>
      </c>
      <c r="I412">
        <v>20880</v>
      </c>
      <c r="J412">
        <v>265</v>
      </c>
      <c r="K412">
        <v>10</v>
      </c>
      <c r="L412" t="s">
        <v>17</v>
      </c>
      <c r="M412" t="str">
        <f t="shared" si="12"/>
        <v>Available</v>
      </c>
      <c r="N412">
        <f t="shared" si="13"/>
        <v>4176</v>
      </c>
    </row>
    <row r="413" spans="1:14" x14ac:dyDescent="0.3">
      <c r="A413" t="s">
        <v>453</v>
      </c>
      <c r="B413" s="1">
        <v>45802</v>
      </c>
      <c r="C413" t="s">
        <v>26</v>
      </c>
      <c r="D413" t="s">
        <v>27</v>
      </c>
      <c r="E413" t="s">
        <v>64</v>
      </c>
      <c r="F413" t="s">
        <v>29</v>
      </c>
      <c r="G413">
        <v>36</v>
      </c>
      <c r="H413">
        <v>1947</v>
      </c>
      <c r="I413">
        <v>70092</v>
      </c>
      <c r="J413">
        <v>265</v>
      </c>
      <c r="K413">
        <v>3</v>
      </c>
      <c r="L413" t="s">
        <v>22</v>
      </c>
      <c r="M413" t="str">
        <f t="shared" si="12"/>
        <v>Available</v>
      </c>
      <c r="N413">
        <f t="shared" si="13"/>
        <v>14018.400000000001</v>
      </c>
    </row>
    <row r="414" spans="1:14" x14ac:dyDescent="0.3">
      <c r="A414" t="s">
        <v>454</v>
      </c>
      <c r="B414" s="1">
        <v>45811</v>
      </c>
      <c r="C414" t="s">
        <v>38</v>
      </c>
      <c r="D414" t="s">
        <v>14</v>
      </c>
      <c r="E414" t="s">
        <v>42</v>
      </c>
      <c r="F414" t="s">
        <v>24</v>
      </c>
      <c r="G414">
        <v>32</v>
      </c>
      <c r="H414">
        <v>751</v>
      </c>
      <c r="I414">
        <v>24032</v>
      </c>
      <c r="J414">
        <v>298</v>
      </c>
      <c r="K414">
        <v>7</v>
      </c>
      <c r="L414" t="s">
        <v>17</v>
      </c>
      <c r="M414" t="str">
        <f t="shared" si="12"/>
        <v>Available</v>
      </c>
      <c r="N414">
        <f t="shared" si="13"/>
        <v>4806.4000000000005</v>
      </c>
    </row>
    <row r="415" spans="1:14" x14ac:dyDescent="0.3">
      <c r="A415" t="s">
        <v>455</v>
      </c>
      <c r="B415" s="1">
        <v>45701</v>
      </c>
      <c r="C415" t="s">
        <v>13</v>
      </c>
      <c r="D415" t="s">
        <v>51</v>
      </c>
      <c r="E415" t="s">
        <v>66</v>
      </c>
      <c r="F415" t="s">
        <v>24</v>
      </c>
      <c r="G415">
        <v>4</v>
      </c>
      <c r="H415">
        <v>548</v>
      </c>
      <c r="I415">
        <v>2192</v>
      </c>
      <c r="J415">
        <v>243</v>
      </c>
      <c r="K415">
        <v>3</v>
      </c>
      <c r="L415" t="s">
        <v>22</v>
      </c>
      <c r="M415" t="str">
        <f t="shared" si="12"/>
        <v>Available</v>
      </c>
      <c r="N415">
        <f t="shared" si="13"/>
        <v>438.40000000000003</v>
      </c>
    </row>
    <row r="416" spans="1:14" x14ac:dyDescent="0.3">
      <c r="A416" t="s">
        <v>456</v>
      </c>
      <c r="B416" s="1">
        <v>45884</v>
      </c>
      <c r="C416" t="s">
        <v>26</v>
      </c>
      <c r="D416" t="s">
        <v>14</v>
      </c>
      <c r="E416" t="s">
        <v>15</v>
      </c>
      <c r="F416" t="s">
        <v>24</v>
      </c>
      <c r="G416">
        <v>11</v>
      </c>
      <c r="H416">
        <v>3866</v>
      </c>
      <c r="I416">
        <v>42526</v>
      </c>
      <c r="J416">
        <v>72</v>
      </c>
      <c r="K416">
        <v>4</v>
      </c>
      <c r="L416" t="s">
        <v>22</v>
      </c>
      <c r="M416" t="str">
        <f t="shared" si="12"/>
        <v>Available</v>
      </c>
      <c r="N416">
        <f t="shared" si="13"/>
        <v>8505.2000000000007</v>
      </c>
    </row>
    <row r="417" spans="1:14" x14ac:dyDescent="0.3">
      <c r="A417" t="s">
        <v>457</v>
      </c>
      <c r="B417" s="1">
        <v>45800</v>
      </c>
      <c r="C417" t="s">
        <v>13</v>
      </c>
      <c r="D417" t="s">
        <v>14</v>
      </c>
      <c r="E417" t="s">
        <v>58</v>
      </c>
      <c r="F417" t="s">
        <v>24</v>
      </c>
      <c r="G417">
        <v>21</v>
      </c>
      <c r="H417">
        <v>2457</v>
      </c>
      <c r="I417">
        <v>51597</v>
      </c>
      <c r="J417">
        <v>156</v>
      </c>
      <c r="K417">
        <v>7</v>
      </c>
      <c r="L417" t="s">
        <v>17</v>
      </c>
      <c r="M417" t="str">
        <f t="shared" si="12"/>
        <v>Available</v>
      </c>
      <c r="N417">
        <f t="shared" si="13"/>
        <v>10319.400000000001</v>
      </c>
    </row>
    <row r="418" spans="1:14" x14ac:dyDescent="0.3">
      <c r="A418" t="s">
        <v>458</v>
      </c>
      <c r="B418" s="1">
        <v>45957</v>
      </c>
      <c r="C418" t="s">
        <v>13</v>
      </c>
      <c r="D418" t="s">
        <v>51</v>
      </c>
      <c r="E418" t="s">
        <v>66</v>
      </c>
      <c r="F418" t="s">
        <v>16</v>
      </c>
      <c r="G418">
        <v>3</v>
      </c>
      <c r="H418">
        <v>2972</v>
      </c>
      <c r="I418">
        <v>8916</v>
      </c>
      <c r="J418">
        <v>141</v>
      </c>
      <c r="K418">
        <v>3</v>
      </c>
      <c r="L418" t="s">
        <v>22</v>
      </c>
      <c r="M418" t="str">
        <f t="shared" si="12"/>
        <v>Available</v>
      </c>
      <c r="N418">
        <f t="shared" si="13"/>
        <v>1783.2</v>
      </c>
    </row>
    <row r="419" spans="1:14" x14ac:dyDescent="0.3">
      <c r="A419" t="s">
        <v>459</v>
      </c>
      <c r="B419" s="1">
        <v>45746</v>
      </c>
      <c r="C419" t="s">
        <v>19</v>
      </c>
      <c r="D419" t="s">
        <v>51</v>
      </c>
      <c r="E419" t="s">
        <v>56</v>
      </c>
      <c r="F419" t="s">
        <v>24</v>
      </c>
      <c r="G419">
        <v>46</v>
      </c>
      <c r="H419">
        <v>4552</v>
      </c>
      <c r="I419">
        <v>209392</v>
      </c>
      <c r="J419">
        <v>197</v>
      </c>
      <c r="K419">
        <v>3</v>
      </c>
      <c r="L419" t="s">
        <v>22</v>
      </c>
      <c r="M419" t="str">
        <f t="shared" si="12"/>
        <v>Available</v>
      </c>
      <c r="N419">
        <f t="shared" si="13"/>
        <v>41878.400000000001</v>
      </c>
    </row>
    <row r="420" spans="1:14" x14ac:dyDescent="0.3">
      <c r="A420" t="s">
        <v>460</v>
      </c>
      <c r="B420" s="1">
        <v>45925</v>
      </c>
      <c r="C420" t="s">
        <v>38</v>
      </c>
      <c r="D420" t="s">
        <v>31</v>
      </c>
      <c r="E420" t="s">
        <v>32</v>
      </c>
      <c r="F420" t="s">
        <v>21</v>
      </c>
      <c r="G420">
        <v>24</v>
      </c>
      <c r="H420">
        <v>4540</v>
      </c>
      <c r="I420">
        <v>108960</v>
      </c>
      <c r="J420">
        <v>165</v>
      </c>
      <c r="K420">
        <v>6</v>
      </c>
      <c r="L420" t="s">
        <v>17</v>
      </c>
      <c r="M420" t="str">
        <f t="shared" si="12"/>
        <v>Available</v>
      </c>
      <c r="N420">
        <f t="shared" si="13"/>
        <v>21792</v>
      </c>
    </row>
    <row r="421" spans="1:14" x14ac:dyDescent="0.3">
      <c r="A421" t="s">
        <v>461</v>
      </c>
      <c r="B421" s="1">
        <v>45774</v>
      </c>
      <c r="C421" t="s">
        <v>19</v>
      </c>
      <c r="D421" t="s">
        <v>14</v>
      </c>
      <c r="E421" t="s">
        <v>58</v>
      </c>
      <c r="F421" t="s">
        <v>21</v>
      </c>
      <c r="G421">
        <v>2</v>
      </c>
      <c r="H421">
        <v>3013</v>
      </c>
      <c r="I421">
        <v>6026</v>
      </c>
      <c r="J421">
        <v>271</v>
      </c>
      <c r="K421">
        <v>5</v>
      </c>
      <c r="L421" t="s">
        <v>22</v>
      </c>
      <c r="M421" t="str">
        <f t="shared" si="12"/>
        <v>Available</v>
      </c>
      <c r="N421">
        <f t="shared" si="13"/>
        <v>1205.2</v>
      </c>
    </row>
    <row r="422" spans="1:14" x14ac:dyDescent="0.3">
      <c r="A422" t="s">
        <v>462</v>
      </c>
      <c r="B422" s="1">
        <v>45754</v>
      </c>
      <c r="C422" t="s">
        <v>38</v>
      </c>
      <c r="D422" t="s">
        <v>51</v>
      </c>
      <c r="E422" t="s">
        <v>90</v>
      </c>
      <c r="F422" t="s">
        <v>21</v>
      </c>
      <c r="G422">
        <v>40</v>
      </c>
      <c r="H422">
        <v>3976</v>
      </c>
      <c r="I422">
        <v>159040</v>
      </c>
      <c r="J422">
        <v>170</v>
      </c>
      <c r="K422">
        <v>8</v>
      </c>
      <c r="L422" t="s">
        <v>17</v>
      </c>
      <c r="M422" t="str">
        <f t="shared" si="12"/>
        <v>Available</v>
      </c>
      <c r="N422">
        <f t="shared" si="13"/>
        <v>31808</v>
      </c>
    </row>
    <row r="423" spans="1:14" x14ac:dyDescent="0.3">
      <c r="A423" t="s">
        <v>463</v>
      </c>
      <c r="B423" s="1">
        <v>45792</v>
      </c>
      <c r="C423" t="s">
        <v>13</v>
      </c>
      <c r="D423" t="s">
        <v>14</v>
      </c>
      <c r="E423" t="s">
        <v>15</v>
      </c>
      <c r="F423" t="s">
        <v>29</v>
      </c>
      <c r="G423">
        <v>15</v>
      </c>
      <c r="H423">
        <v>4917</v>
      </c>
      <c r="I423">
        <v>73755</v>
      </c>
      <c r="J423">
        <v>58</v>
      </c>
      <c r="K423">
        <v>9</v>
      </c>
      <c r="L423" t="s">
        <v>17</v>
      </c>
      <c r="M423" t="str">
        <f t="shared" si="12"/>
        <v>Available</v>
      </c>
      <c r="N423">
        <f t="shared" si="13"/>
        <v>14751</v>
      </c>
    </row>
    <row r="424" spans="1:14" x14ac:dyDescent="0.3">
      <c r="A424" t="s">
        <v>464</v>
      </c>
      <c r="B424" s="1">
        <v>45959</v>
      </c>
      <c r="C424" t="s">
        <v>19</v>
      </c>
      <c r="D424" t="s">
        <v>51</v>
      </c>
      <c r="E424" t="s">
        <v>52</v>
      </c>
      <c r="F424" t="s">
        <v>29</v>
      </c>
      <c r="G424">
        <v>25</v>
      </c>
      <c r="H424">
        <v>979</v>
      </c>
      <c r="I424">
        <v>24475</v>
      </c>
      <c r="J424">
        <v>245</v>
      </c>
      <c r="K424">
        <v>8</v>
      </c>
      <c r="L424" t="s">
        <v>17</v>
      </c>
      <c r="M424" t="str">
        <f t="shared" si="12"/>
        <v>Available</v>
      </c>
      <c r="N424">
        <f t="shared" si="13"/>
        <v>4895</v>
      </c>
    </row>
    <row r="425" spans="1:14" x14ac:dyDescent="0.3">
      <c r="A425" t="s">
        <v>465</v>
      </c>
      <c r="B425" s="1">
        <v>45706</v>
      </c>
      <c r="C425" t="s">
        <v>13</v>
      </c>
      <c r="D425" t="s">
        <v>51</v>
      </c>
      <c r="E425" t="s">
        <v>66</v>
      </c>
      <c r="F425" t="s">
        <v>29</v>
      </c>
      <c r="G425">
        <v>39</v>
      </c>
      <c r="H425">
        <v>1857</v>
      </c>
      <c r="I425">
        <v>72423</v>
      </c>
      <c r="J425">
        <v>207</v>
      </c>
      <c r="K425">
        <v>8</v>
      </c>
      <c r="L425" t="s">
        <v>17</v>
      </c>
      <c r="M425" t="str">
        <f t="shared" si="12"/>
        <v>Available</v>
      </c>
      <c r="N425">
        <f t="shared" si="13"/>
        <v>14484.6</v>
      </c>
    </row>
    <row r="426" spans="1:14" x14ac:dyDescent="0.3">
      <c r="A426" t="s">
        <v>466</v>
      </c>
      <c r="B426" s="1">
        <v>45959</v>
      </c>
      <c r="C426" t="s">
        <v>19</v>
      </c>
      <c r="D426" t="s">
        <v>27</v>
      </c>
      <c r="E426" t="s">
        <v>28</v>
      </c>
      <c r="F426" t="s">
        <v>24</v>
      </c>
      <c r="G426">
        <v>50</v>
      </c>
      <c r="H426">
        <v>1965</v>
      </c>
      <c r="I426">
        <v>98250</v>
      </c>
      <c r="J426">
        <v>171</v>
      </c>
      <c r="K426">
        <v>9</v>
      </c>
      <c r="L426" t="s">
        <v>17</v>
      </c>
      <c r="M426" t="str">
        <f t="shared" si="12"/>
        <v>Available</v>
      </c>
      <c r="N426">
        <f t="shared" si="13"/>
        <v>19650</v>
      </c>
    </row>
    <row r="427" spans="1:14" x14ac:dyDescent="0.3">
      <c r="A427" t="s">
        <v>467</v>
      </c>
      <c r="B427" s="1">
        <v>45706</v>
      </c>
      <c r="C427" t="s">
        <v>26</v>
      </c>
      <c r="D427" t="s">
        <v>27</v>
      </c>
      <c r="E427" t="s">
        <v>64</v>
      </c>
      <c r="F427" t="s">
        <v>29</v>
      </c>
      <c r="G427">
        <v>2</v>
      </c>
      <c r="H427">
        <v>3342</v>
      </c>
      <c r="I427">
        <v>6684</v>
      </c>
      <c r="J427">
        <v>284</v>
      </c>
      <c r="K427">
        <v>3</v>
      </c>
      <c r="L427" t="s">
        <v>22</v>
      </c>
      <c r="M427" t="str">
        <f t="shared" si="12"/>
        <v>Available</v>
      </c>
      <c r="N427">
        <f t="shared" si="13"/>
        <v>1336.8000000000002</v>
      </c>
    </row>
    <row r="428" spans="1:14" x14ac:dyDescent="0.3">
      <c r="A428" t="s">
        <v>468</v>
      </c>
      <c r="B428" s="1">
        <v>45938</v>
      </c>
      <c r="C428" t="s">
        <v>19</v>
      </c>
      <c r="D428" t="s">
        <v>31</v>
      </c>
      <c r="E428" t="s">
        <v>32</v>
      </c>
      <c r="F428" t="s">
        <v>16</v>
      </c>
      <c r="G428">
        <v>6</v>
      </c>
      <c r="H428">
        <v>1259</v>
      </c>
      <c r="I428">
        <v>7554</v>
      </c>
      <c r="J428">
        <v>213</v>
      </c>
      <c r="K428">
        <v>4</v>
      </c>
      <c r="L428" t="s">
        <v>22</v>
      </c>
      <c r="M428" t="str">
        <f t="shared" si="12"/>
        <v>Available</v>
      </c>
      <c r="N428">
        <f t="shared" si="13"/>
        <v>1510.8000000000002</v>
      </c>
    </row>
    <row r="429" spans="1:14" x14ac:dyDescent="0.3">
      <c r="A429" t="s">
        <v>469</v>
      </c>
      <c r="B429" s="1">
        <v>45819</v>
      </c>
      <c r="C429" t="s">
        <v>26</v>
      </c>
      <c r="D429" t="s">
        <v>14</v>
      </c>
      <c r="E429" t="s">
        <v>20</v>
      </c>
      <c r="F429" t="s">
        <v>21</v>
      </c>
      <c r="G429">
        <v>49</v>
      </c>
      <c r="H429">
        <v>3611</v>
      </c>
      <c r="I429">
        <v>176939</v>
      </c>
      <c r="J429">
        <v>192</v>
      </c>
      <c r="K429">
        <v>10</v>
      </c>
      <c r="L429" t="s">
        <v>17</v>
      </c>
      <c r="M429" t="str">
        <f t="shared" si="12"/>
        <v>Available</v>
      </c>
      <c r="N429">
        <f t="shared" si="13"/>
        <v>35387.800000000003</v>
      </c>
    </row>
    <row r="430" spans="1:14" x14ac:dyDescent="0.3">
      <c r="A430" t="s">
        <v>470</v>
      </c>
      <c r="B430" s="1">
        <v>45756</v>
      </c>
      <c r="C430" t="s">
        <v>38</v>
      </c>
      <c r="D430" t="s">
        <v>14</v>
      </c>
      <c r="E430" t="s">
        <v>58</v>
      </c>
      <c r="F430" t="s">
        <v>29</v>
      </c>
      <c r="G430">
        <v>46</v>
      </c>
      <c r="H430">
        <v>2763</v>
      </c>
      <c r="I430">
        <v>127098</v>
      </c>
      <c r="J430">
        <v>164</v>
      </c>
      <c r="K430">
        <v>4</v>
      </c>
      <c r="L430" t="s">
        <v>22</v>
      </c>
      <c r="M430" t="str">
        <f t="shared" si="12"/>
        <v>Available</v>
      </c>
      <c r="N430">
        <f t="shared" si="13"/>
        <v>25419.600000000002</v>
      </c>
    </row>
    <row r="431" spans="1:14" x14ac:dyDescent="0.3">
      <c r="A431" t="s">
        <v>471</v>
      </c>
      <c r="B431" s="1">
        <v>46002</v>
      </c>
      <c r="C431" t="s">
        <v>26</v>
      </c>
      <c r="D431" t="s">
        <v>27</v>
      </c>
      <c r="E431" t="s">
        <v>64</v>
      </c>
      <c r="F431" t="s">
        <v>24</v>
      </c>
      <c r="G431">
        <v>19</v>
      </c>
      <c r="H431">
        <v>2286</v>
      </c>
      <c r="I431">
        <v>43434</v>
      </c>
      <c r="J431">
        <v>62</v>
      </c>
      <c r="K431">
        <v>6</v>
      </c>
      <c r="L431" t="s">
        <v>17</v>
      </c>
      <c r="M431" t="str">
        <f t="shared" si="12"/>
        <v>Available</v>
      </c>
      <c r="N431">
        <f t="shared" si="13"/>
        <v>8686.8000000000011</v>
      </c>
    </row>
    <row r="432" spans="1:14" x14ac:dyDescent="0.3">
      <c r="A432" t="s">
        <v>472</v>
      </c>
      <c r="B432" s="1">
        <v>45673</v>
      </c>
      <c r="C432" t="s">
        <v>19</v>
      </c>
      <c r="D432" t="s">
        <v>27</v>
      </c>
      <c r="E432" t="s">
        <v>28</v>
      </c>
      <c r="F432" t="s">
        <v>24</v>
      </c>
      <c r="G432">
        <v>29</v>
      </c>
      <c r="H432">
        <v>3599</v>
      </c>
      <c r="I432">
        <v>104371</v>
      </c>
      <c r="J432">
        <v>229</v>
      </c>
      <c r="K432">
        <v>4</v>
      </c>
      <c r="L432" t="s">
        <v>22</v>
      </c>
      <c r="M432" t="str">
        <f t="shared" si="12"/>
        <v>Available</v>
      </c>
      <c r="N432">
        <f t="shared" si="13"/>
        <v>20874.2</v>
      </c>
    </row>
    <row r="433" spans="1:14" x14ac:dyDescent="0.3">
      <c r="A433" t="s">
        <v>473</v>
      </c>
      <c r="B433" s="1">
        <v>46000</v>
      </c>
      <c r="C433" t="s">
        <v>26</v>
      </c>
      <c r="D433" t="s">
        <v>51</v>
      </c>
      <c r="E433" t="s">
        <v>56</v>
      </c>
      <c r="F433" t="s">
        <v>21</v>
      </c>
      <c r="G433">
        <v>4</v>
      </c>
      <c r="H433">
        <v>2097</v>
      </c>
      <c r="I433">
        <v>8388</v>
      </c>
      <c r="J433">
        <v>241</v>
      </c>
      <c r="K433">
        <v>3</v>
      </c>
      <c r="L433" t="s">
        <v>22</v>
      </c>
      <c r="M433" t="str">
        <f t="shared" si="12"/>
        <v>Available</v>
      </c>
      <c r="N433">
        <f t="shared" si="13"/>
        <v>1677.6000000000001</v>
      </c>
    </row>
    <row r="434" spans="1:14" x14ac:dyDescent="0.3">
      <c r="A434" t="s">
        <v>474</v>
      </c>
      <c r="B434" s="1">
        <v>45735</v>
      </c>
      <c r="C434" t="s">
        <v>19</v>
      </c>
      <c r="D434" t="s">
        <v>27</v>
      </c>
      <c r="E434" t="s">
        <v>28</v>
      </c>
      <c r="F434" t="s">
        <v>29</v>
      </c>
      <c r="G434">
        <v>20</v>
      </c>
      <c r="H434">
        <v>3125</v>
      </c>
      <c r="I434">
        <v>62500</v>
      </c>
      <c r="J434">
        <v>295</v>
      </c>
      <c r="K434">
        <v>2</v>
      </c>
      <c r="L434" t="s">
        <v>22</v>
      </c>
      <c r="M434" t="str">
        <f t="shared" si="12"/>
        <v>Available</v>
      </c>
      <c r="N434">
        <f t="shared" si="13"/>
        <v>12500</v>
      </c>
    </row>
    <row r="435" spans="1:14" x14ac:dyDescent="0.3">
      <c r="A435" t="s">
        <v>475</v>
      </c>
      <c r="B435" s="1">
        <v>46022</v>
      </c>
      <c r="C435" t="s">
        <v>19</v>
      </c>
      <c r="D435" t="s">
        <v>51</v>
      </c>
      <c r="E435" t="s">
        <v>52</v>
      </c>
      <c r="F435" t="s">
        <v>24</v>
      </c>
      <c r="G435">
        <v>49</v>
      </c>
      <c r="H435">
        <v>2031</v>
      </c>
      <c r="I435">
        <v>99519</v>
      </c>
      <c r="J435">
        <v>158</v>
      </c>
      <c r="K435">
        <v>2</v>
      </c>
      <c r="L435" t="s">
        <v>22</v>
      </c>
      <c r="M435" t="str">
        <f t="shared" si="12"/>
        <v>Available</v>
      </c>
      <c r="N435">
        <f t="shared" si="13"/>
        <v>19903.800000000003</v>
      </c>
    </row>
    <row r="436" spans="1:14" x14ac:dyDescent="0.3">
      <c r="A436" t="s">
        <v>476</v>
      </c>
      <c r="B436" s="1">
        <v>46018</v>
      </c>
      <c r="C436" t="s">
        <v>38</v>
      </c>
      <c r="D436" t="s">
        <v>31</v>
      </c>
      <c r="E436" t="s">
        <v>45</v>
      </c>
      <c r="F436" t="s">
        <v>29</v>
      </c>
      <c r="G436">
        <v>1</v>
      </c>
      <c r="H436">
        <v>1049</v>
      </c>
      <c r="I436">
        <v>1049</v>
      </c>
      <c r="J436">
        <v>72</v>
      </c>
      <c r="K436">
        <v>5</v>
      </c>
      <c r="L436" t="s">
        <v>22</v>
      </c>
      <c r="M436" t="str">
        <f t="shared" si="12"/>
        <v>Available</v>
      </c>
      <c r="N436">
        <f t="shared" si="13"/>
        <v>209.8</v>
      </c>
    </row>
    <row r="437" spans="1:14" x14ac:dyDescent="0.3">
      <c r="A437" t="s">
        <v>477</v>
      </c>
      <c r="B437" s="1">
        <v>46000</v>
      </c>
      <c r="C437" t="s">
        <v>19</v>
      </c>
      <c r="D437" t="s">
        <v>51</v>
      </c>
      <c r="E437" t="s">
        <v>52</v>
      </c>
      <c r="F437" t="s">
        <v>24</v>
      </c>
      <c r="G437">
        <v>40</v>
      </c>
      <c r="H437">
        <v>1569</v>
      </c>
      <c r="I437">
        <v>62760</v>
      </c>
      <c r="J437">
        <v>247</v>
      </c>
      <c r="K437">
        <v>3</v>
      </c>
      <c r="L437" t="s">
        <v>22</v>
      </c>
      <c r="M437" t="str">
        <f t="shared" si="12"/>
        <v>Available</v>
      </c>
      <c r="N437">
        <f t="shared" si="13"/>
        <v>12552</v>
      </c>
    </row>
    <row r="438" spans="1:14" x14ac:dyDescent="0.3">
      <c r="A438" t="s">
        <v>478</v>
      </c>
      <c r="B438" s="1">
        <v>45723</v>
      </c>
      <c r="C438" t="s">
        <v>19</v>
      </c>
      <c r="D438" t="s">
        <v>31</v>
      </c>
      <c r="E438" t="s">
        <v>32</v>
      </c>
      <c r="F438" t="s">
        <v>21</v>
      </c>
      <c r="G438">
        <v>2</v>
      </c>
      <c r="H438">
        <v>724</v>
      </c>
      <c r="I438">
        <v>1448</v>
      </c>
      <c r="J438">
        <v>56</v>
      </c>
      <c r="K438">
        <v>7</v>
      </c>
      <c r="L438" t="s">
        <v>17</v>
      </c>
      <c r="M438" t="str">
        <f t="shared" si="12"/>
        <v>Available</v>
      </c>
      <c r="N438">
        <f t="shared" si="13"/>
        <v>289.60000000000002</v>
      </c>
    </row>
    <row r="439" spans="1:14" x14ac:dyDescent="0.3">
      <c r="A439" t="s">
        <v>479</v>
      </c>
      <c r="B439" s="1">
        <v>45905</v>
      </c>
      <c r="C439" t="s">
        <v>19</v>
      </c>
      <c r="D439" t="s">
        <v>51</v>
      </c>
      <c r="E439" t="s">
        <v>56</v>
      </c>
      <c r="F439" t="s">
        <v>21</v>
      </c>
      <c r="G439">
        <v>6</v>
      </c>
      <c r="H439">
        <v>2412</v>
      </c>
      <c r="I439">
        <v>14472</v>
      </c>
      <c r="J439">
        <v>247</v>
      </c>
      <c r="K439">
        <v>5</v>
      </c>
      <c r="L439" t="s">
        <v>22</v>
      </c>
      <c r="M439" t="str">
        <f t="shared" si="12"/>
        <v>Available</v>
      </c>
      <c r="N439">
        <f t="shared" si="13"/>
        <v>2894.4</v>
      </c>
    </row>
    <row r="440" spans="1:14" x14ac:dyDescent="0.3">
      <c r="A440" t="s">
        <v>480</v>
      </c>
      <c r="B440" s="1">
        <v>45670</v>
      </c>
      <c r="C440" t="s">
        <v>26</v>
      </c>
      <c r="D440" t="s">
        <v>51</v>
      </c>
      <c r="E440" t="s">
        <v>66</v>
      </c>
      <c r="F440" t="s">
        <v>21</v>
      </c>
      <c r="G440">
        <v>28</v>
      </c>
      <c r="H440">
        <v>2926</v>
      </c>
      <c r="I440">
        <v>81928</v>
      </c>
      <c r="J440">
        <v>125</v>
      </c>
      <c r="K440">
        <v>3</v>
      </c>
      <c r="L440" t="s">
        <v>22</v>
      </c>
      <c r="M440" t="str">
        <f t="shared" si="12"/>
        <v>Available</v>
      </c>
      <c r="N440">
        <f t="shared" si="13"/>
        <v>16385.600000000002</v>
      </c>
    </row>
    <row r="441" spans="1:14" x14ac:dyDescent="0.3">
      <c r="A441" t="s">
        <v>481</v>
      </c>
      <c r="B441" s="1">
        <v>45701</v>
      </c>
      <c r="C441" t="s">
        <v>13</v>
      </c>
      <c r="D441" t="s">
        <v>27</v>
      </c>
      <c r="E441" t="s">
        <v>28</v>
      </c>
      <c r="F441" t="s">
        <v>21</v>
      </c>
      <c r="G441">
        <v>25</v>
      </c>
      <c r="H441">
        <v>3148</v>
      </c>
      <c r="I441">
        <v>78700</v>
      </c>
      <c r="J441">
        <v>216</v>
      </c>
      <c r="K441">
        <v>5</v>
      </c>
      <c r="L441" t="s">
        <v>22</v>
      </c>
      <c r="M441" t="str">
        <f t="shared" si="12"/>
        <v>Available</v>
      </c>
      <c r="N441">
        <f t="shared" si="13"/>
        <v>15740</v>
      </c>
    </row>
    <row r="442" spans="1:14" x14ac:dyDescent="0.3">
      <c r="A442" t="s">
        <v>482</v>
      </c>
      <c r="B442" s="1">
        <v>45736</v>
      </c>
      <c r="C442" t="s">
        <v>26</v>
      </c>
      <c r="D442" t="s">
        <v>27</v>
      </c>
      <c r="E442" t="s">
        <v>28</v>
      </c>
      <c r="F442" t="s">
        <v>24</v>
      </c>
      <c r="G442">
        <v>14</v>
      </c>
      <c r="H442">
        <v>3640</v>
      </c>
      <c r="I442">
        <v>50960</v>
      </c>
      <c r="J442">
        <v>137</v>
      </c>
      <c r="K442">
        <v>6</v>
      </c>
      <c r="L442" t="s">
        <v>17</v>
      </c>
      <c r="M442" t="str">
        <f t="shared" si="12"/>
        <v>Available</v>
      </c>
      <c r="N442">
        <f t="shared" si="13"/>
        <v>10192</v>
      </c>
    </row>
    <row r="443" spans="1:14" x14ac:dyDescent="0.3">
      <c r="A443" t="s">
        <v>483</v>
      </c>
      <c r="B443" s="1">
        <v>45902</v>
      </c>
      <c r="C443" t="s">
        <v>26</v>
      </c>
      <c r="D443" t="s">
        <v>31</v>
      </c>
      <c r="E443" t="s">
        <v>45</v>
      </c>
      <c r="F443" t="s">
        <v>24</v>
      </c>
      <c r="G443">
        <v>35</v>
      </c>
      <c r="H443">
        <v>2427</v>
      </c>
      <c r="I443">
        <v>84945</v>
      </c>
      <c r="J443">
        <v>61</v>
      </c>
      <c r="K443">
        <v>8</v>
      </c>
      <c r="L443" t="s">
        <v>17</v>
      </c>
      <c r="M443" t="str">
        <f t="shared" si="12"/>
        <v>Available</v>
      </c>
      <c r="N443">
        <f t="shared" si="13"/>
        <v>16989</v>
      </c>
    </row>
    <row r="444" spans="1:14" x14ac:dyDescent="0.3">
      <c r="A444" t="s">
        <v>484</v>
      </c>
      <c r="B444" s="1">
        <v>45697</v>
      </c>
      <c r="C444" t="s">
        <v>19</v>
      </c>
      <c r="D444" t="s">
        <v>51</v>
      </c>
      <c r="E444" t="s">
        <v>56</v>
      </c>
      <c r="F444" t="s">
        <v>16</v>
      </c>
      <c r="G444">
        <v>9</v>
      </c>
      <c r="H444">
        <v>3213</v>
      </c>
      <c r="I444">
        <v>28917</v>
      </c>
      <c r="J444">
        <v>113</v>
      </c>
      <c r="K444">
        <v>2</v>
      </c>
      <c r="L444" t="s">
        <v>22</v>
      </c>
      <c r="M444" t="str">
        <f t="shared" si="12"/>
        <v>Available</v>
      </c>
      <c r="N444">
        <f t="shared" si="13"/>
        <v>5783.4000000000005</v>
      </c>
    </row>
    <row r="445" spans="1:14" x14ac:dyDescent="0.3">
      <c r="A445" t="s">
        <v>485</v>
      </c>
      <c r="B445" s="1">
        <v>45851</v>
      </c>
      <c r="C445" t="s">
        <v>13</v>
      </c>
      <c r="D445" t="s">
        <v>27</v>
      </c>
      <c r="E445" t="s">
        <v>34</v>
      </c>
      <c r="F445" t="s">
        <v>24</v>
      </c>
      <c r="G445">
        <v>12</v>
      </c>
      <c r="H445">
        <v>2164</v>
      </c>
      <c r="I445">
        <v>25968</v>
      </c>
      <c r="J445">
        <v>13</v>
      </c>
      <c r="K445">
        <v>8</v>
      </c>
      <c r="L445" t="s">
        <v>17</v>
      </c>
      <c r="M445" t="str">
        <f t="shared" si="12"/>
        <v>Reorder</v>
      </c>
      <c r="N445">
        <f t="shared" si="13"/>
        <v>5193.6000000000004</v>
      </c>
    </row>
    <row r="446" spans="1:14" x14ac:dyDescent="0.3">
      <c r="A446" t="s">
        <v>486</v>
      </c>
      <c r="B446" s="1">
        <v>45748</v>
      </c>
      <c r="C446" t="s">
        <v>26</v>
      </c>
      <c r="D446" t="s">
        <v>31</v>
      </c>
      <c r="E446" t="s">
        <v>32</v>
      </c>
      <c r="F446" t="s">
        <v>29</v>
      </c>
      <c r="G446">
        <v>40</v>
      </c>
      <c r="H446">
        <v>3718</v>
      </c>
      <c r="I446">
        <v>148720</v>
      </c>
      <c r="J446">
        <v>150</v>
      </c>
      <c r="K446">
        <v>9</v>
      </c>
      <c r="L446" t="s">
        <v>17</v>
      </c>
      <c r="M446" t="str">
        <f t="shared" si="12"/>
        <v>Available</v>
      </c>
      <c r="N446">
        <f t="shared" si="13"/>
        <v>29744</v>
      </c>
    </row>
    <row r="447" spans="1:14" x14ac:dyDescent="0.3">
      <c r="A447" t="s">
        <v>487</v>
      </c>
      <c r="B447" s="1">
        <v>45921</v>
      </c>
      <c r="C447" t="s">
        <v>26</v>
      </c>
      <c r="D447" t="s">
        <v>31</v>
      </c>
      <c r="E447" t="s">
        <v>32</v>
      </c>
      <c r="F447" t="s">
        <v>16</v>
      </c>
      <c r="G447">
        <v>23</v>
      </c>
      <c r="H447">
        <v>2218</v>
      </c>
      <c r="I447">
        <v>51014</v>
      </c>
      <c r="J447">
        <v>208</v>
      </c>
      <c r="K447">
        <v>9</v>
      </c>
      <c r="L447" t="s">
        <v>17</v>
      </c>
      <c r="M447" t="str">
        <f t="shared" si="12"/>
        <v>Available</v>
      </c>
      <c r="N447">
        <f t="shared" si="13"/>
        <v>10202.800000000001</v>
      </c>
    </row>
    <row r="448" spans="1:14" x14ac:dyDescent="0.3">
      <c r="A448" t="s">
        <v>488</v>
      </c>
      <c r="B448" s="1">
        <v>45831</v>
      </c>
      <c r="C448" t="s">
        <v>26</v>
      </c>
      <c r="D448" t="s">
        <v>31</v>
      </c>
      <c r="E448" t="s">
        <v>76</v>
      </c>
      <c r="F448" t="s">
        <v>16</v>
      </c>
      <c r="G448">
        <v>1</v>
      </c>
      <c r="H448">
        <v>962</v>
      </c>
      <c r="I448">
        <v>962</v>
      </c>
      <c r="J448">
        <v>299</v>
      </c>
      <c r="K448">
        <v>7</v>
      </c>
      <c r="L448" t="s">
        <v>17</v>
      </c>
      <c r="M448" t="str">
        <f t="shared" si="12"/>
        <v>Available</v>
      </c>
      <c r="N448">
        <f t="shared" si="13"/>
        <v>192.4</v>
      </c>
    </row>
    <row r="449" spans="1:14" x14ac:dyDescent="0.3">
      <c r="A449" t="s">
        <v>489</v>
      </c>
      <c r="B449" s="1">
        <v>45742</v>
      </c>
      <c r="C449" t="s">
        <v>26</v>
      </c>
      <c r="D449" t="s">
        <v>31</v>
      </c>
      <c r="E449" t="s">
        <v>45</v>
      </c>
      <c r="F449" t="s">
        <v>21</v>
      </c>
      <c r="G449">
        <v>10</v>
      </c>
      <c r="H449">
        <v>3248</v>
      </c>
      <c r="I449">
        <v>32480</v>
      </c>
      <c r="J449">
        <v>242</v>
      </c>
      <c r="K449">
        <v>6</v>
      </c>
      <c r="L449" t="s">
        <v>17</v>
      </c>
      <c r="M449" t="str">
        <f t="shared" si="12"/>
        <v>Available</v>
      </c>
      <c r="N449">
        <f t="shared" si="13"/>
        <v>6496</v>
      </c>
    </row>
    <row r="450" spans="1:14" x14ac:dyDescent="0.3">
      <c r="A450" t="s">
        <v>490</v>
      </c>
      <c r="B450" s="1">
        <v>45722</v>
      </c>
      <c r="C450" t="s">
        <v>13</v>
      </c>
      <c r="D450" t="s">
        <v>27</v>
      </c>
      <c r="E450" t="s">
        <v>64</v>
      </c>
      <c r="F450" t="s">
        <v>29</v>
      </c>
      <c r="G450">
        <v>22</v>
      </c>
      <c r="H450">
        <v>4099</v>
      </c>
      <c r="I450">
        <v>90178</v>
      </c>
      <c r="J450">
        <v>181</v>
      </c>
      <c r="K450">
        <v>8</v>
      </c>
      <c r="L450" t="s">
        <v>17</v>
      </c>
      <c r="M450" t="str">
        <f t="shared" si="12"/>
        <v>Available</v>
      </c>
      <c r="N450">
        <f t="shared" si="13"/>
        <v>18035.600000000002</v>
      </c>
    </row>
    <row r="451" spans="1:14" x14ac:dyDescent="0.3">
      <c r="A451" t="s">
        <v>491</v>
      </c>
      <c r="B451" s="1">
        <v>45801</v>
      </c>
      <c r="C451" t="s">
        <v>19</v>
      </c>
      <c r="D451" t="s">
        <v>31</v>
      </c>
      <c r="E451" t="s">
        <v>32</v>
      </c>
      <c r="F451" t="s">
        <v>24</v>
      </c>
      <c r="G451">
        <v>6</v>
      </c>
      <c r="H451">
        <v>4113</v>
      </c>
      <c r="I451">
        <v>24678</v>
      </c>
      <c r="J451">
        <v>183</v>
      </c>
      <c r="K451">
        <v>2</v>
      </c>
      <c r="L451" t="s">
        <v>22</v>
      </c>
      <c r="M451" t="str">
        <f t="shared" ref="M451:M514" si="14">IF(J451&lt;50,"Reorder","Available")</f>
        <v>Available</v>
      </c>
      <c r="N451">
        <f t="shared" ref="N451:N514" si="15">I451*20%</f>
        <v>4935.6000000000004</v>
      </c>
    </row>
    <row r="452" spans="1:14" x14ac:dyDescent="0.3">
      <c r="A452" t="s">
        <v>492</v>
      </c>
      <c r="B452" s="1">
        <v>45886</v>
      </c>
      <c r="C452" t="s">
        <v>38</v>
      </c>
      <c r="D452" t="s">
        <v>14</v>
      </c>
      <c r="E452" t="s">
        <v>15</v>
      </c>
      <c r="F452" t="s">
        <v>24</v>
      </c>
      <c r="G452">
        <v>16</v>
      </c>
      <c r="H452">
        <v>4310</v>
      </c>
      <c r="I452">
        <v>68960</v>
      </c>
      <c r="J452">
        <v>298</v>
      </c>
      <c r="K452">
        <v>4</v>
      </c>
      <c r="L452" t="s">
        <v>22</v>
      </c>
      <c r="M452" t="str">
        <f t="shared" si="14"/>
        <v>Available</v>
      </c>
      <c r="N452">
        <f t="shared" si="15"/>
        <v>13792</v>
      </c>
    </row>
    <row r="453" spans="1:14" x14ac:dyDescent="0.3">
      <c r="A453" t="s">
        <v>493</v>
      </c>
      <c r="B453" s="1">
        <v>46015</v>
      </c>
      <c r="C453" t="s">
        <v>26</v>
      </c>
      <c r="D453" t="s">
        <v>31</v>
      </c>
      <c r="E453" t="s">
        <v>32</v>
      </c>
      <c r="F453" t="s">
        <v>21</v>
      </c>
      <c r="G453">
        <v>38</v>
      </c>
      <c r="H453">
        <v>1075</v>
      </c>
      <c r="I453">
        <v>40850</v>
      </c>
      <c r="J453">
        <v>169</v>
      </c>
      <c r="K453">
        <v>7</v>
      </c>
      <c r="L453" t="s">
        <v>17</v>
      </c>
      <c r="M453" t="str">
        <f t="shared" si="14"/>
        <v>Available</v>
      </c>
      <c r="N453">
        <f t="shared" si="15"/>
        <v>8170</v>
      </c>
    </row>
    <row r="454" spans="1:14" x14ac:dyDescent="0.3">
      <c r="A454" t="s">
        <v>494</v>
      </c>
      <c r="B454" s="1">
        <v>45887</v>
      </c>
      <c r="C454" t="s">
        <v>26</v>
      </c>
      <c r="D454" t="s">
        <v>27</v>
      </c>
      <c r="E454" t="s">
        <v>64</v>
      </c>
      <c r="F454" t="s">
        <v>24</v>
      </c>
      <c r="G454">
        <v>27</v>
      </c>
      <c r="H454">
        <v>1847</v>
      </c>
      <c r="I454">
        <v>49869</v>
      </c>
      <c r="J454">
        <v>15</v>
      </c>
      <c r="K454">
        <v>3</v>
      </c>
      <c r="L454" t="s">
        <v>22</v>
      </c>
      <c r="M454" t="str">
        <f t="shared" si="14"/>
        <v>Reorder</v>
      </c>
      <c r="N454">
        <f t="shared" si="15"/>
        <v>9973.8000000000011</v>
      </c>
    </row>
    <row r="455" spans="1:14" x14ac:dyDescent="0.3">
      <c r="A455" t="s">
        <v>495</v>
      </c>
      <c r="B455" s="1">
        <v>45948</v>
      </c>
      <c r="C455" t="s">
        <v>13</v>
      </c>
      <c r="D455" t="s">
        <v>31</v>
      </c>
      <c r="E455" t="s">
        <v>45</v>
      </c>
      <c r="F455" t="s">
        <v>16</v>
      </c>
      <c r="G455">
        <v>36</v>
      </c>
      <c r="H455">
        <v>3854</v>
      </c>
      <c r="I455">
        <v>138744</v>
      </c>
      <c r="J455">
        <v>15</v>
      </c>
      <c r="K455">
        <v>6</v>
      </c>
      <c r="L455" t="s">
        <v>17</v>
      </c>
      <c r="M455" t="str">
        <f t="shared" si="14"/>
        <v>Reorder</v>
      </c>
      <c r="N455">
        <f t="shared" si="15"/>
        <v>27748.800000000003</v>
      </c>
    </row>
    <row r="456" spans="1:14" x14ac:dyDescent="0.3">
      <c r="A456" t="s">
        <v>496</v>
      </c>
      <c r="B456" s="1">
        <v>45913</v>
      </c>
      <c r="C456" t="s">
        <v>13</v>
      </c>
      <c r="D456" t="s">
        <v>14</v>
      </c>
      <c r="E456" t="s">
        <v>20</v>
      </c>
      <c r="F456" t="s">
        <v>29</v>
      </c>
      <c r="G456">
        <v>15</v>
      </c>
      <c r="H456">
        <v>4982</v>
      </c>
      <c r="I456">
        <v>74730</v>
      </c>
      <c r="J456">
        <v>71</v>
      </c>
      <c r="K456">
        <v>10</v>
      </c>
      <c r="L456" t="s">
        <v>17</v>
      </c>
      <c r="M456" t="str">
        <f t="shared" si="14"/>
        <v>Available</v>
      </c>
      <c r="N456">
        <f t="shared" si="15"/>
        <v>14946</v>
      </c>
    </row>
    <row r="457" spans="1:14" x14ac:dyDescent="0.3">
      <c r="A457" t="s">
        <v>497</v>
      </c>
      <c r="B457" s="1">
        <v>45691</v>
      </c>
      <c r="C457" t="s">
        <v>38</v>
      </c>
      <c r="D457" t="s">
        <v>27</v>
      </c>
      <c r="E457" t="s">
        <v>28</v>
      </c>
      <c r="F457" t="s">
        <v>24</v>
      </c>
      <c r="G457">
        <v>30</v>
      </c>
      <c r="H457">
        <v>1938</v>
      </c>
      <c r="I457">
        <v>58140</v>
      </c>
      <c r="J457">
        <v>49</v>
      </c>
      <c r="K457">
        <v>10</v>
      </c>
      <c r="L457" t="s">
        <v>17</v>
      </c>
      <c r="M457" t="str">
        <f t="shared" si="14"/>
        <v>Reorder</v>
      </c>
      <c r="N457">
        <f t="shared" si="15"/>
        <v>11628</v>
      </c>
    </row>
    <row r="458" spans="1:14" x14ac:dyDescent="0.3">
      <c r="A458" t="s">
        <v>498</v>
      </c>
      <c r="B458" s="1">
        <v>45913</v>
      </c>
      <c r="C458" t="s">
        <v>38</v>
      </c>
      <c r="D458" t="s">
        <v>14</v>
      </c>
      <c r="E458" t="s">
        <v>20</v>
      </c>
      <c r="F458" t="s">
        <v>21</v>
      </c>
      <c r="G458">
        <v>8</v>
      </c>
      <c r="H458">
        <v>3551</v>
      </c>
      <c r="I458">
        <v>28408</v>
      </c>
      <c r="J458">
        <v>234</v>
      </c>
      <c r="K458">
        <v>10</v>
      </c>
      <c r="L458" t="s">
        <v>17</v>
      </c>
      <c r="M458" t="str">
        <f t="shared" si="14"/>
        <v>Available</v>
      </c>
      <c r="N458">
        <f t="shared" si="15"/>
        <v>5681.6</v>
      </c>
    </row>
    <row r="459" spans="1:14" x14ac:dyDescent="0.3">
      <c r="A459" t="s">
        <v>499</v>
      </c>
      <c r="B459" s="1">
        <v>45799</v>
      </c>
      <c r="C459" t="s">
        <v>26</v>
      </c>
      <c r="D459" t="s">
        <v>27</v>
      </c>
      <c r="E459" t="s">
        <v>34</v>
      </c>
      <c r="F459" t="s">
        <v>16</v>
      </c>
      <c r="G459">
        <v>39</v>
      </c>
      <c r="H459">
        <v>1117</v>
      </c>
      <c r="I459">
        <v>43563</v>
      </c>
      <c r="J459">
        <v>106</v>
      </c>
      <c r="K459">
        <v>8</v>
      </c>
      <c r="L459" t="s">
        <v>17</v>
      </c>
      <c r="M459" t="str">
        <f t="shared" si="14"/>
        <v>Available</v>
      </c>
      <c r="N459">
        <f t="shared" si="15"/>
        <v>8712.6</v>
      </c>
    </row>
    <row r="460" spans="1:14" x14ac:dyDescent="0.3">
      <c r="A460" t="s">
        <v>500</v>
      </c>
      <c r="B460" s="1">
        <v>45860</v>
      </c>
      <c r="C460" t="s">
        <v>13</v>
      </c>
      <c r="D460" t="s">
        <v>31</v>
      </c>
      <c r="E460" t="s">
        <v>76</v>
      </c>
      <c r="F460" t="s">
        <v>24</v>
      </c>
      <c r="G460">
        <v>13</v>
      </c>
      <c r="H460">
        <v>4325</v>
      </c>
      <c r="I460">
        <v>56225</v>
      </c>
      <c r="J460">
        <v>71</v>
      </c>
      <c r="K460">
        <v>8</v>
      </c>
      <c r="L460" t="s">
        <v>17</v>
      </c>
      <c r="M460" t="str">
        <f t="shared" si="14"/>
        <v>Available</v>
      </c>
      <c r="N460">
        <f t="shared" si="15"/>
        <v>11245</v>
      </c>
    </row>
    <row r="461" spans="1:14" x14ac:dyDescent="0.3">
      <c r="A461" t="s">
        <v>501</v>
      </c>
      <c r="B461" s="1">
        <v>45660</v>
      </c>
      <c r="C461" t="s">
        <v>19</v>
      </c>
      <c r="D461" t="s">
        <v>51</v>
      </c>
      <c r="E461" t="s">
        <v>90</v>
      </c>
      <c r="F461" t="s">
        <v>16</v>
      </c>
      <c r="G461">
        <v>46</v>
      </c>
      <c r="H461">
        <v>822</v>
      </c>
      <c r="I461">
        <v>37812</v>
      </c>
      <c r="J461">
        <v>11</v>
      </c>
      <c r="K461">
        <v>4</v>
      </c>
      <c r="L461" t="s">
        <v>22</v>
      </c>
      <c r="M461" t="str">
        <f t="shared" si="14"/>
        <v>Reorder</v>
      </c>
      <c r="N461">
        <f t="shared" si="15"/>
        <v>7562.4000000000005</v>
      </c>
    </row>
    <row r="462" spans="1:14" x14ac:dyDescent="0.3">
      <c r="A462" t="s">
        <v>502</v>
      </c>
      <c r="B462" s="1">
        <v>45910</v>
      </c>
      <c r="C462" t="s">
        <v>38</v>
      </c>
      <c r="D462" t="s">
        <v>51</v>
      </c>
      <c r="E462" t="s">
        <v>52</v>
      </c>
      <c r="F462" t="s">
        <v>24</v>
      </c>
      <c r="G462">
        <v>33</v>
      </c>
      <c r="H462">
        <v>636</v>
      </c>
      <c r="I462">
        <v>20988</v>
      </c>
      <c r="J462">
        <v>52</v>
      </c>
      <c r="K462">
        <v>7</v>
      </c>
      <c r="L462" t="s">
        <v>17</v>
      </c>
      <c r="M462" t="str">
        <f t="shared" si="14"/>
        <v>Available</v>
      </c>
      <c r="N462">
        <f t="shared" si="15"/>
        <v>4197.6000000000004</v>
      </c>
    </row>
    <row r="463" spans="1:14" x14ac:dyDescent="0.3">
      <c r="A463" t="s">
        <v>503</v>
      </c>
      <c r="B463" s="1">
        <v>45677</v>
      </c>
      <c r="C463" t="s">
        <v>38</v>
      </c>
      <c r="D463" t="s">
        <v>51</v>
      </c>
      <c r="E463" t="s">
        <v>66</v>
      </c>
      <c r="F463" t="s">
        <v>29</v>
      </c>
      <c r="G463">
        <v>4</v>
      </c>
      <c r="H463">
        <v>782</v>
      </c>
      <c r="I463">
        <v>3128</v>
      </c>
      <c r="J463">
        <v>57</v>
      </c>
      <c r="K463">
        <v>3</v>
      </c>
      <c r="L463" t="s">
        <v>22</v>
      </c>
      <c r="M463" t="str">
        <f t="shared" si="14"/>
        <v>Available</v>
      </c>
      <c r="N463">
        <f t="shared" si="15"/>
        <v>625.6</v>
      </c>
    </row>
    <row r="464" spans="1:14" x14ac:dyDescent="0.3">
      <c r="A464" t="s">
        <v>504</v>
      </c>
      <c r="B464" s="1">
        <v>45787</v>
      </c>
      <c r="C464" t="s">
        <v>26</v>
      </c>
      <c r="D464" t="s">
        <v>14</v>
      </c>
      <c r="E464" t="s">
        <v>15</v>
      </c>
      <c r="F464" t="s">
        <v>21</v>
      </c>
      <c r="G464">
        <v>45</v>
      </c>
      <c r="H464">
        <v>831</v>
      </c>
      <c r="I464">
        <v>37395</v>
      </c>
      <c r="J464">
        <v>217</v>
      </c>
      <c r="K464">
        <v>2</v>
      </c>
      <c r="L464" t="s">
        <v>22</v>
      </c>
      <c r="M464" t="str">
        <f t="shared" si="14"/>
        <v>Available</v>
      </c>
      <c r="N464">
        <f t="shared" si="15"/>
        <v>7479</v>
      </c>
    </row>
    <row r="465" spans="1:14" x14ac:dyDescent="0.3">
      <c r="A465" t="s">
        <v>505</v>
      </c>
      <c r="B465" s="1">
        <v>45686</v>
      </c>
      <c r="C465" t="s">
        <v>38</v>
      </c>
      <c r="D465" t="s">
        <v>14</v>
      </c>
      <c r="E465" t="s">
        <v>42</v>
      </c>
      <c r="F465" t="s">
        <v>29</v>
      </c>
      <c r="G465">
        <v>19</v>
      </c>
      <c r="H465">
        <v>2515</v>
      </c>
      <c r="I465">
        <v>47785</v>
      </c>
      <c r="J465">
        <v>260</v>
      </c>
      <c r="K465">
        <v>9</v>
      </c>
      <c r="L465" t="s">
        <v>17</v>
      </c>
      <c r="M465" t="str">
        <f t="shared" si="14"/>
        <v>Available</v>
      </c>
      <c r="N465">
        <f t="shared" si="15"/>
        <v>9557</v>
      </c>
    </row>
    <row r="466" spans="1:14" x14ac:dyDescent="0.3">
      <c r="A466" t="s">
        <v>506</v>
      </c>
      <c r="B466" s="1">
        <v>45828</v>
      </c>
      <c r="C466" t="s">
        <v>13</v>
      </c>
      <c r="D466" t="s">
        <v>51</v>
      </c>
      <c r="E466" t="s">
        <v>90</v>
      </c>
      <c r="F466" t="s">
        <v>16</v>
      </c>
      <c r="G466">
        <v>35</v>
      </c>
      <c r="H466">
        <v>2890</v>
      </c>
      <c r="I466">
        <v>101150</v>
      </c>
      <c r="J466">
        <v>90</v>
      </c>
      <c r="K466">
        <v>9</v>
      </c>
      <c r="L466" t="s">
        <v>17</v>
      </c>
      <c r="M466" t="str">
        <f t="shared" si="14"/>
        <v>Available</v>
      </c>
      <c r="N466">
        <f t="shared" si="15"/>
        <v>20230</v>
      </c>
    </row>
    <row r="467" spans="1:14" x14ac:dyDescent="0.3">
      <c r="A467" t="s">
        <v>507</v>
      </c>
      <c r="B467" s="1">
        <v>45795</v>
      </c>
      <c r="C467" t="s">
        <v>26</v>
      </c>
      <c r="D467" t="s">
        <v>51</v>
      </c>
      <c r="E467" t="s">
        <v>90</v>
      </c>
      <c r="F467" t="s">
        <v>21</v>
      </c>
      <c r="G467">
        <v>46</v>
      </c>
      <c r="H467">
        <v>2073</v>
      </c>
      <c r="I467">
        <v>95358</v>
      </c>
      <c r="J467">
        <v>108</v>
      </c>
      <c r="K467">
        <v>6</v>
      </c>
      <c r="L467" t="s">
        <v>17</v>
      </c>
      <c r="M467" t="str">
        <f t="shared" si="14"/>
        <v>Available</v>
      </c>
      <c r="N467">
        <f t="shared" si="15"/>
        <v>19071.600000000002</v>
      </c>
    </row>
    <row r="468" spans="1:14" x14ac:dyDescent="0.3">
      <c r="A468" t="s">
        <v>508</v>
      </c>
      <c r="B468" s="1">
        <v>45664</v>
      </c>
      <c r="C468" t="s">
        <v>19</v>
      </c>
      <c r="D468" t="s">
        <v>27</v>
      </c>
      <c r="E468" t="s">
        <v>34</v>
      </c>
      <c r="F468" t="s">
        <v>16</v>
      </c>
      <c r="G468">
        <v>24</v>
      </c>
      <c r="H468">
        <v>708</v>
      </c>
      <c r="I468">
        <v>16992</v>
      </c>
      <c r="J468">
        <v>90</v>
      </c>
      <c r="K468">
        <v>6</v>
      </c>
      <c r="L468" t="s">
        <v>17</v>
      </c>
      <c r="M468" t="str">
        <f t="shared" si="14"/>
        <v>Available</v>
      </c>
      <c r="N468">
        <f t="shared" si="15"/>
        <v>3398.4</v>
      </c>
    </row>
    <row r="469" spans="1:14" x14ac:dyDescent="0.3">
      <c r="A469" t="s">
        <v>509</v>
      </c>
      <c r="B469" s="1">
        <v>45912</v>
      </c>
      <c r="C469" t="s">
        <v>13</v>
      </c>
      <c r="D469" t="s">
        <v>27</v>
      </c>
      <c r="E469" t="s">
        <v>64</v>
      </c>
      <c r="F469" t="s">
        <v>21</v>
      </c>
      <c r="G469">
        <v>49</v>
      </c>
      <c r="H469">
        <v>4490</v>
      </c>
      <c r="I469">
        <v>220010</v>
      </c>
      <c r="J469">
        <v>13</v>
      </c>
      <c r="K469">
        <v>7</v>
      </c>
      <c r="L469" t="s">
        <v>17</v>
      </c>
      <c r="M469" t="str">
        <f t="shared" si="14"/>
        <v>Reorder</v>
      </c>
      <c r="N469">
        <f t="shared" si="15"/>
        <v>44002</v>
      </c>
    </row>
    <row r="470" spans="1:14" x14ac:dyDescent="0.3">
      <c r="A470" t="s">
        <v>510</v>
      </c>
      <c r="B470" s="1">
        <v>45891</v>
      </c>
      <c r="C470" t="s">
        <v>26</v>
      </c>
      <c r="D470" t="s">
        <v>14</v>
      </c>
      <c r="E470" t="s">
        <v>20</v>
      </c>
      <c r="F470" t="s">
        <v>21</v>
      </c>
      <c r="G470">
        <v>16</v>
      </c>
      <c r="H470">
        <v>4236</v>
      </c>
      <c r="I470">
        <v>67776</v>
      </c>
      <c r="J470">
        <v>288</v>
      </c>
      <c r="K470">
        <v>5</v>
      </c>
      <c r="L470" t="s">
        <v>22</v>
      </c>
      <c r="M470" t="str">
        <f t="shared" si="14"/>
        <v>Available</v>
      </c>
      <c r="N470">
        <f t="shared" si="15"/>
        <v>13555.2</v>
      </c>
    </row>
    <row r="471" spans="1:14" x14ac:dyDescent="0.3">
      <c r="A471" t="s">
        <v>511</v>
      </c>
      <c r="B471" s="1">
        <v>46021</v>
      </c>
      <c r="C471" t="s">
        <v>13</v>
      </c>
      <c r="D471" t="s">
        <v>27</v>
      </c>
      <c r="E471" t="s">
        <v>83</v>
      </c>
      <c r="F471" t="s">
        <v>24</v>
      </c>
      <c r="G471">
        <v>9</v>
      </c>
      <c r="H471">
        <v>567</v>
      </c>
      <c r="I471">
        <v>5103</v>
      </c>
      <c r="J471">
        <v>21</v>
      </c>
      <c r="K471">
        <v>2</v>
      </c>
      <c r="L471" t="s">
        <v>22</v>
      </c>
      <c r="M471" t="str">
        <f t="shared" si="14"/>
        <v>Reorder</v>
      </c>
      <c r="N471">
        <f t="shared" si="15"/>
        <v>1020.6</v>
      </c>
    </row>
    <row r="472" spans="1:14" x14ac:dyDescent="0.3">
      <c r="A472" t="s">
        <v>512</v>
      </c>
      <c r="B472" s="1">
        <v>45990</v>
      </c>
      <c r="C472" t="s">
        <v>38</v>
      </c>
      <c r="D472" t="s">
        <v>14</v>
      </c>
      <c r="E472" t="s">
        <v>20</v>
      </c>
      <c r="F472" t="s">
        <v>21</v>
      </c>
      <c r="G472">
        <v>18</v>
      </c>
      <c r="H472">
        <v>2689</v>
      </c>
      <c r="I472">
        <v>48402</v>
      </c>
      <c r="J472">
        <v>258</v>
      </c>
      <c r="K472">
        <v>2</v>
      </c>
      <c r="L472" t="s">
        <v>22</v>
      </c>
      <c r="M472" t="str">
        <f t="shared" si="14"/>
        <v>Available</v>
      </c>
      <c r="N472">
        <f t="shared" si="15"/>
        <v>9680.4</v>
      </c>
    </row>
    <row r="473" spans="1:14" x14ac:dyDescent="0.3">
      <c r="A473" t="s">
        <v>513</v>
      </c>
      <c r="B473" s="1">
        <v>45713</v>
      </c>
      <c r="C473" t="s">
        <v>26</v>
      </c>
      <c r="D473" t="s">
        <v>14</v>
      </c>
      <c r="E473" t="s">
        <v>58</v>
      </c>
      <c r="F473" t="s">
        <v>24</v>
      </c>
      <c r="G473">
        <v>9</v>
      </c>
      <c r="H473">
        <v>4164</v>
      </c>
      <c r="I473">
        <v>37476</v>
      </c>
      <c r="J473">
        <v>55</v>
      </c>
      <c r="K473">
        <v>10</v>
      </c>
      <c r="L473" t="s">
        <v>17</v>
      </c>
      <c r="M473" t="str">
        <f t="shared" si="14"/>
        <v>Available</v>
      </c>
      <c r="N473">
        <f t="shared" si="15"/>
        <v>7495.2000000000007</v>
      </c>
    </row>
    <row r="474" spans="1:14" x14ac:dyDescent="0.3">
      <c r="A474" t="s">
        <v>514</v>
      </c>
      <c r="B474" s="1">
        <v>45972</v>
      </c>
      <c r="C474" t="s">
        <v>26</v>
      </c>
      <c r="D474" t="s">
        <v>51</v>
      </c>
      <c r="E474" t="s">
        <v>90</v>
      </c>
      <c r="F474" t="s">
        <v>24</v>
      </c>
      <c r="G474">
        <v>13</v>
      </c>
      <c r="H474">
        <v>1298</v>
      </c>
      <c r="I474">
        <v>16874</v>
      </c>
      <c r="J474">
        <v>62</v>
      </c>
      <c r="K474">
        <v>7</v>
      </c>
      <c r="L474" t="s">
        <v>17</v>
      </c>
      <c r="M474" t="str">
        <f t="shared" si="14"/>
        <v>Available</v>
      </c>
      <c r="N474">
        <f t="shared" si="15"/>
        <v>3374.8</v>
      </c>
    </row>
    <row r="475" spans="1:14" x14ac:dyDescent="0.3">
      <c r="A475" t="s">
        <v>515</v>
      </c>
      <c r="B475" s="1">
        <v>45886</v>
      </c>
      <c r="C475" t="s">
        <v>38</v>
      </c>
      <c r="D475" t="s">
        <v>14</v>
      </c>
      <c r="E475" t="s">
        <v>42</v>
      </c>
      <c r="F475" t="s">
        <v>21</v>
      </c>
      <c r="G475">
        <v>31</v>
      </c>
      <c r="H475">
        <v>585</v>
      </c>
      <c r="I475">
        <v>18135</v>
      </c>
      <c r="J475">
        <v>39</v>
      </c>
      <c r="K475">
        <v>6</v>
      </c>
      <c r="L475" t="s">
        <v>17</v>
      </c>
      <c r="M475" t="str">
        <f t="shared" si="14"/>
        <v>Reorder</v>
      </c>
      <c r="N475">
        <f t="shared" si="15"/>
        <v>3627</v>
      </c>
    </row>
    <row r="476" spans="1:14" x14ac:dyDescent="0.3">
      <c r="A476" t="s">
        <v>516</v>
      </c>
      <c r="B476" s="1">
        <v>45964</v>
      </c>
      <c r="C476" t="s">
        <v>38</v>
      </c>
      <c r="D476" t="s">
        <v>31</v>
      </c>
      <c r="E476" t="s">
        <v>45</v>
      </c>
      <c r="F476" t="s">
        <v>29</v>
      </c>
      <c r="G476">
        <v>10</v>
      </c>
      <c r="H476">
        <v>4121</v>
      </c>
      <c r="I476">
        <v>41210</v>
      </c>
      <c r="J476">
        <v>145</v>
      </c>
      <c r="K476">
        <v>8</v>
      </c>
      <c r="L476" t="s">
        <v>17</v>
      </c>
      <c r="M476" t="str">
        <f t="shared" si="14"/>
        <v>Available</v>
      </c>
      <c r="N476">
        <f t="shared" si="15"/>
        <v>8242</v>
      </c>
    </row>
    <row r="477" spans="1:14" x14ac:dyDescent="0.3">
      <c r="A477" t="s">
        <v>517</v>
      </c>
      <c r="B477" s="1">
        <v>45736</v>
      </c>
      <c r="C477" t="s">
        <v>38</v>
      </c>
      <c r="D477" t="s">
        <v>27</v>
      </c>
      <c r="E477" t="s">
        <v>83</v>
      </c>
      <c r="F477" t="s">
        <v>29</v>
      </c>
      <c r="G477">
        <v>37</v>
      </c>
      <c r="H477">
        <v>2851</v>
      </c>
      <c r="I477">
        <v>105487</v>
      </c>
      <c r="J477">
        <v>240</v>
      </c>
      <c r="K477">
        <v>8</v>
      </c>
      <c r="L477" t="s">
        <v>17</v>
      </c>
      <c r="M477" t="str">
        <f t="shared" si="14"/>
        <v>Available</v>
      </c>
      <c r="N477">
        <f t="shared" si="15"/>
        <v>21097.4</v>
      </c>
    </row>
    <row r="478" spans="1:14" x14ac:dyDescent="0.3">
      <c r="A478" t="s">
        <v>518</v>
      </c>
      <c r="B478" s="1">
        <v>45667</v>
      </c>
      <c r="C478" t="s">
        <v>38</v>
      </c>
      <c r="D478" t="s">
        <v>27</v>
      </c>
      <c r="E478" t="s">
        <v>34</v>
      </c>
      <c r="F478" t="s">
        <v>21</v>
      </c>
      <c r="G478">
        <v>43</v>
      </c>
      <c r="H478">
        <v>2876</v>
      </c>
      <c r="I478">
        <v>123668</v>
      </c>
      <c r="J478">
        <v>94</v>
      </c>
      <c r="K478">
        <v>2</v>
      </c>
      <c r="L478" t="s">
        <v>22</v>
      </c>
      <c r="M478" t="str">
        <f t="shared" si="14"/>
        <v>Available</v>
      </c>
      <c r="N478">
        <f t="shared" si="15"/>
        <v>24733.600000000002</v>
      </c>
    </row>
    <row r="479" spans="1:14" x14ac:dyDescent="0.3">
      <c r="A479" t="s">
        <v>519</v>
      </c>
      <c r="B479" s="1">
        <v>46014</v>
      </c>
      <c r="C479" t="s">
        <v>38</v>
      </c>
      <c r="D479" t="s">
        <v>27</v>
      </c>
      <c r="E479" t="s">
        <v>64</v>
      </c>
      <c r="F479" t="s">
        <v>16</v>
      </c>
      <c r="G479">
        <v>9</v>
      </c>
      <c r="H479">
        <v>2464</v>
      </c>
      <c r="I479">
        <v>22176</v>
      </c>
      <c r="J479">
        <v>205</v>
      </c>
      <c r="K479">
        <v>8</v>
      </c>
      <c r="L479" t="s">
        <v>17</v>
      </c>
      <c r="M479" t="str">
        <f t="shared" si="14"/>
        <v>Available</v>
      </c>
      <c r="N479">
        <f t="shared" si="15"/>
        <v>4435.2</v>
      </c>
    </row>
    <row r="480" spans="1:14" x14ac:dyDescent="0.3">
      <c r="A480" t="s">
        <v>520</v>
      </c>
      <c r="B480" s="1">
        <v>45771</v>
      </c>
      <c r="C480" t="s">
        <v>13</v>
      </c>
      <c r="D480" t="s">
        <v>14</v>
      </c>
      <c r="E480" t="s">
        <v>42</v>
      </c>
      <c r="F480" t="s">
        <v>21</v>
      </c>
      <c r="G480">
        <v>13</v>
      </c>
      <c r="H480">
        <v>924</v>
      </c>
      <c r="I480">
        <v>12012</v>
      </c>
      <c r="J480">
        <v>28</v>
      </c>
      <c r="K480">
        <v>6</v>
      </c>
      <c r="L480" t="s">
        <v>17</v>
      </c>
      <c r="M480" t="str">
        <f t="shared" si="14"/>
        <v>Reorder</v>
      </c>
      <c r="N480">
        <f t="shared" si="15"/>
        <v>2402.4</v>
      </c>
    </row>
    <row r="481" spans="1:14" x14ac:dyDescent="0.3">
      <c r="A481" t="s">
        <v>521</v>
      </c>
      <c r="B481" s="1">
        <v>45880</v>
      </c>
      <c r="C481" t="s">
        <v>13</v>
      </c>
      <c r="D481" t="s">
        <v>51</v>
      </c>
      <c r="E481" t="s">
        <v>52</v>
      </c>
      <c r="F481" t="s">
        <v>16</v>
      </c>
      <c r="G481">
        <v>13</v>
      </c>
      <c r="H481">
        <v>3204</v>
      </c>
      <c r="I481">
        <v>41652</v>
      </c>
      <c r="J481">
        <v>134</v>
      </c>
      <c r="K481">
        <v>8</v>
      </c>
      <c r="L481" t="s">
        <v>17</v>
      </c>
      <c r="M481" t="str">
        <f t="shared" si="14"/>
        <v>Available</v>
      </c>
      <c r="N481">
        <f t="shared" si="15"/>
        <v>8330.4</v>
      </c>
    </row>
    <row r="482" spans="1:14" x14ac:dyDescent="0.3">
      <c r="A482" t="s">
        <v>522</v>
      </c>
      <c r="B482" s="1">
        <v>45943</v>
      </c>
      <c r="C482" t="s">
        <v>19</v>
      </c>
      <c r="D482" t="s">
        <v>31</v>
      </c>
      <c r="E482" t="s">
        <v>32</v>
      </c>
      <c r="F482" t="s">
        <v>16</v>
      </c>
      <c r="G482">
        <v>40</v>
      </c>
      <c r="H482">
        <v>1304</v>
      </c>
      <c r="I482">
        <v>52160</v>
      </c>
      <c r="J482">
        <v>148</v>
      </c>
      <c r="K482">
        <v>2</v>
      </c>
      <c r="L482" t="s">
        <v>22</v>
      </c>
      <c r="M482" t="str">
        <f t="shared" si="14"/>
        <v>Available</v>
      </c>
      <c r="N482">
        <f t="shared" si="15"/>
        <v>10432</v>
      </c>
    </row>
    <row r="483" spans="1:14" x14ac:dyDescent="0.3">
      <c r="A483" t="s">
        <v>523</v>
      </c>
      <c r="B483" s="1">
        <v>45819</v>
      </c>
      <c r="C483" t="s">
        <v>26</v>
      </c>
      <c r="D483" t="s">
        <v>51</v>
      </c>
      <c r="E483" t="s">
        <v>56</v>
      </c>
      <c r="F483" t="s">
        <v>16</v>
      </c>
      <c r="G483">
        <v>5</v>
      </c>
      <c r="H483">
        <v>4769</v>
      </c>
      <c r="I483">
        <v>23845</v>
      </c>
      <c r="J483">
        <v>140</v>
      </c>
      <c r="K483">
        <v>9</v>
      </c>
      <c r="L483" t="s">
        <v>17</v>
      </c>
      <c r="M483" t="str">
        <f t="shared" si="14"/>
        <v>Available</v>
      </c>
      <c r="N483">
        <f t="shared" si="15"/>
        <v>4769</v>
      </c>
    </row>
    <row r="484" spans="1:14" x14ac:dyDescent="0.3">
      <c r="A484" t="s">
        <v>524</v>
      </c>
      <c r="B484" s="1">
        <v>45703</v>
      </c>
      <c r="C484" t="s">
        <v>13</v>
      </c>
      <c r="D484" t="s">
        <v>14</v>
      </c>
      <c r="E484" t="s">
        <v>15</v>
      </c>
      <c r="F484" t="s">
        <v>16</v>
      </c>
      <c r="G484">
        <v>45</v>
      </c>
      <c r="H484">
        <v>652</v>
      </c>
      <c r="I484">
        <v>29340</v>
      </c>
      <c r="J484">
        <v>165</v>
      </c>
      <c r="K484">
        <v>5</v>
      </c>
      <c r="L484" t="s">
        <v>22</v>
      </c>
      <c r="M484" t="str">
        <f t="shared" si="14"/>
        <v>Available</v>
      </c>
      <c r="N484">
        <f t="shared" si="15"/>
        <v>5868</v>
      </c>
    </row>
    <row r="485" spans="1:14" x14ac:dyDescent="0.3">
      <c r="A485" t="s">
        <v>525</v>
      </c>
      <c r="B485" s="1">
        <v>45841</v>
      </c>
      <c r="C485" t="s">
        <v>19</v>
      </c>
      <c r="D485" t="s">
        <v>51</v>
      </c>
      <c r="E485" t="s">
        <v>90</v>
      </c>
      <c r="F485" t="s">
        <v>21</v>
      </c>
      <c r="G485">
        <v>39</v>
      </c>
      <c r="H485">
        <v>3206</v>
      </c>
      <c r="I485">
        <v>125034</v>
      </c>
      <c r="J485">
        <v>11</v>
      </c>
      <c r="K485">
        <v>10</v>
      </c>
      <c r="L485" t="s">
        <v>17</v>
      </c>
      <c r="M485" t="str">
        <f t="shared" si="14"/>
        <v>Reorder</v>
      </c>
      <c r="N485">
        <f t="shared" si="15"/>
        <v>25006.800000000003</v>
      </c>
    </row>
    <row r="486" spans="1:14" x14ac:dyDescent="0.3">
      <c r="A486" t="s">
        <v>526</v>
      </c>
      <c r="B486" s="1">
        <v>45693</v>
      </c>
      <c r="C486" t="s">
        <v>19</v>
      </c>
      <c r="D486" t="s">
        <v>27</v>
      </c>
      <c r="E486" t="s">
        <v>64</v>
      </c>
      <c r="F486" t="s">
        <v>24</v>
      </c>
      <c r="G486">
        <v>39</v>
      </c>
      <c r="H486">
        <v>2161</v>
      </c>
      <c r="I486">
        <v>84279</v>
      </c>
      <c r="J486">
        <v>65</v>
      </c>
      <c r="K486">
        <v>4</v>
      </c>
      <c r="L486" t="s">
        <v>22</v>
      </c>
      <c r="M486" t="str">
        <f t="shared" si="14"/>
        <v>Available</v>
      </c>
      <c r="N486">
        <f t="shared" si="15"/>
        <v>16855.8</v>
      </c>
    </row>
    <row r="487" spans="1:14" x14ac:dyDescent="0.3">
      <c r="A487" t="s">
        <v>527</v>
      </c>
      <c r="B487" s="1">
        <v>45717</v>
      </c>
      <c r="C487" t="s">
        <v>38</v>
      </c>
      <c r="D487" t="s">
        <v>31</v>
      </c>
      <c r="E487" t="s">
        <v>45</v>
      </c>
      <c r="F487" t="s">
        <v>21</v>
      </c>
      <c r="G487">
        <v>44</v>
      </c>
      <c r="H487">
        <v>633</v>
      </c>
      <c r="I487">
        <v>27852</v>
      </c>
      <c r="J487">
        <v>273</v>
      </c>
      <c r="K487">
        <v>10</v>
      </c>
      <c r="L487" t="s">
        <v>17</v>
      </c>
      <c r="M487" t="str">
        <f t="shared" si="14"/>
        <v>Available</v>
      </c>
      <c r="N487">
        <f t="shared" si="15"/>
        <v>5570.4000000000005</v>
      </c>
    </row>
    <row r="488" spans="1:14" x14ac:dyDescent="0.3">
      <c r="A488" t="s">
        <v>528</v>
      </c>
      <c r="B488" s="1">
        <v>45901</v>
      </c>
      <c r="C488" t="s">
        <v>26</v>
      </c>
      <c r="D488" t="s">
        <v>51</v>
      </c>
      <c r="E488" t="s">
        <v>52</v>
      </c>
      <c r="F488" t="s">
        <v>29</v>
      </c>
      <c r="G488">
        <v>15</v>
      </c>
      <c r="H488">
        <v>2520</v>
      </c>
      <c r="I488">
        <v>37800</v>
      </c>
      <c r="J488">
        <v>78</v>
      </c>
      <c r="K488">
        <v>7</v>
      </c>
      <c r="L488" t="s">
        <v>17</v>
      </c>
      <c r="M488" t="str">
        <f t="shared" si="14"/>
        <v>Available</v>
      </c>
      <c r="N488">
        <f t="shared" si="15"/>
        <v>7560</v>
      </c>
    </row>
    <row r="489" spans="1:14" x14ac:dyDescent="0.3">
      <c r="A489" t="s">
        <v>529</v>
      </c>
      <c r="B489" s="1">
        <v>45862</v>
      </c>
      <c r="C489" t="s">
        <v>19</v>
      </c>
      <c r="D489" t="s">
        <v>51</v>
      </c>
      <c r="E489" t="s">
        <v>56</v>
      </c>
      <c r="F489" t="s">
        <v>24</v>
      </c>
      <c r="G489">
        <v>3</v>
      </c>
      <c r="H489">
        <v>4692</v>
      </c>
      <c r="I489">
        <v>14076</v>
      </c>
      <c r="J489">
        <v>139</v>
      </c>
      <c r="K489">
        <v>7</v>
      </c>
      <c r="L489" t="s">
        <v>17</v>
      </c>
      <c r="M489" t="str">
        <f t="shared" si="14"/>
        <v>Available</v>
      </c>
      <c r="N489">
        <f t="shared" si="15"/>
        <v>2815.2000000000003</v>
      </c>
    </row>
    <row r="490" spans="1:14" x14ac:dyDescent="0.3">
      <c r="A490" t="s">
        <v>530</v>
      </c>
      <c r="B490" s="1">
        <v>45859</v>
      </c>
      <c r="C490" t="s">
        <v>26</v>
      </c>
      <c r="D490" t="s">
        <v>27</v>
      </c>
      <c r="E490" t="s">
        <v>28</v>
      </c>
      <c r="F490" t="s">
        <v>29</v>
      </c>
      <c r="G490">
        <v>29</v>
      </c>
      <c r="H490">
        <v>3376</v>
      </c>
      <c r="I490">
        <v>97904</v>
      </c>
      <c r="J490">
        <v>190</v>
      </c>
      <c r="K490">
        <v>3</v>
      </c>
      <c r="L490" t="s">
        <v>22</v>
      </c>
      <c r="M490" t="str">
        <f t="shared" si="14"/>
        <v>Available</v>
      </c>
      <c r="N490">
        <f t="shared" si="15"/>
        <v>19580.8</v>
      </c>
    </row>
    <row r="491" spans="1:14" x14ac:dyDescent="0.3">
      <c r="A491" t="s">
        <v>531</v>
      </c>
      <c r="B491" s="1">
        <v>45934</v>
      </c>
      <c r="C491" t="s">
        <v>13</v>
      </c>
      <c r="D491" t="s">
        <v>27</v>
      </c>
      <c r="E491" t="s">
        <v>34</v>
      </c>
      <c r="F491" t="s">
        <v>29</v>
      </c>
      <c r="G491">
        <v>2</v>
      </c>
      <c r="H491">
        <v>2701</v>
      </c>
      <c r="I491">
        <v>5402</v>
      </c>
      <c r="J491">
        <v>296</v>
      </c>
      <c r="K491">
        <v>7</v>
      </c>
      <c r="L491" t="s">
        <v>17</v>
      </c>
      <c r="M491" t="str">
        <f t="shared" si="14"/>
        <v>Available</v>
      </c>
      <c r="N491">
        <f t="shared" si="15"/>
        <v>1080.4000000000001</v>
      </c>
    </row>
    <row r="492" spans="1:14" x14ac:dyDescent="0.3">
      <c r="A492" t="s">
        <v>532</v>
      </c>
      <c r="B492" s="1">
        <v>45738</v>
      </c>
      <c r="C492" t="s">
        <v>38</v>
      </c>
      <c r="D492" t="s">
        <v>31</v>
      </c>
      <c r="E492" t="s">
        <v>76</v>
      </c>
      <c r="F492" t="s">
        <v>29</v>
      </c>
      <c r="G492">
        <v>30</v>
      </c>
      <c r="H492">
        <v>1069</v>
      </c>
      <c r="I492">
        <v>32070</v>
      </c>
      <c r="J492">
        <v>236</v>
      </c>
      <c r="K492">
        <v>8</v>
      </c>
      <c r="L492" t="s">
        <v>17</v>
      </c>
      <c r="M492" t="str">
        <f t="shared" si="14"/>
        <v>Available</v>
      </c>
      <c r="N492">
        <f t="shared" si="15"/>
        <v>6414</v>
      </c>
    </row>
    <row r="493" spans="1:14" x14ac:dyDescent="0.3">
      <c r="A493" t="s">
        <v>533</v>
      </c>
      <c r="B493" s="1">
        <v>45812</v>
      </c>
      <c r="C493" t="s">
        <v>13</v>
      </c>
      <c r="D493" t="s">
        <v>51</v>
      </c>
      <c r="E493" t="s">
        <v>90</v>
      </c>
      <c r="F493" t="s">
        <v>24</v>
      </c>
      <c r="G493">
        <v>10</v>
      </c>
      <c r="H493">
        <v>969</v>
      </c>
      <c r="I493">
        <v>9690</v>
      </c>
      <c r="J493">
        <v>218</v>
      </c>
      <c r="K493">
        <v>7</v>
      </c>
      <c r="L493" t="s">
        <v>17</v>
      </c>
      <c r="M493" t="str">
        <f t="shared" si="14"/>
        <v>Available</v>
      </c>
      <c r="N493">
        <f t="shared" si="15"/>
        <v>1938</v>
      </c>
    </row>
    <row r="494" spans="1:14" x14ac:dyDescent="0.3">
      <c r="A494" t="s">
        <v>534</v>
      </c>
      <c r="B494" s="1">
        <v>46017</v>
      </c>
      <c r="C494" t="s">
        <v>13</v>
      </c>
      <c r="D494" t="s">
        <v>51</v>
      </c>
      <c r="E494" t="s">
        <v>52</v>
      </c>
      <c r="F494" t="s">
        <v>16</v>
      </c>
      <c r="G494">
        <v>37</v>
      </c>
      <c r="H494">
        <v>3892</v>
      </c>
      <c r="I494">
        <v>144004</v>
      </c>
      <c r="J494">
        <v>15</v>
      </c>
      <c r="K494">
        <v>2</v>
      </c>
      <c r="L494" t="s">
        <v>22</v>
      </c>
      <c r="M494" t="str">
        <f t="shared" si="14"/>
        <v>Reorder</v>
      </c>
      <c r="N494">
        <f t="shared" si="15"/>
        <v>28800.800000000003</v>
      </c>
    </row>
    <row r="495" spans="1:14" x14ac:dyDescent="0.3">
      <c r="A495" t="s">
        <v>535</v>
      </c>
      <c r="B495" s="1">
        <v>45919</v>
      </c>
      <c r="C495" t="s">
        <v>19</v>
      </c>
      <c r="D495" t="s">
        <v>51</v>
      </c>
      <c r="E495" t="s">
        <v>66</v>
      </c>
      <c r="F495" t="s">
        <v>16</v>
      </c>
      <c r="G495">
        <v>28</v>
      </c>
      <c r="H495">
        <v>3601</v>
      </c>
      <c r="I495">
        <v>100828</v>
      </c>
      <c r="J495">
        <v>159</v>
      </c>
      <c r="K495">
        <v>4</v>
      </c>
      <c r="L495" t="s">
        <v>22</v>
      </c>
      <c r="M495" t="str">
        <f t="shared" si="14"/>
        <v>Available</v>
      </c>
      <c r="N495">
        <f t="shared" si="15"/>
        <v>20165.600000000002</v>
      </c>
    </row>
    <row r="496" spans="1:14" x14ac:dyDescent="0.3">
      <c r="A496" t="s">
        <v>536</v>
      </c>
      <c r="B496" s="1">
        <v>45740</v>
      </c>
      <c r="C496" t="s">
        <v>13</v>
      </c>
      <c r="D496" t="s">
        <v>31</v>
      </c>
      <c r="E496" t="s">
        <v>45</v>
      </c>
      <c r="F496" t="s">
        <v>24</v>
      </c>
      <c r="G496">
        <v>34</v>
      </c>
      <c r="H496">
        <v>3519</v>
      </c>
      <c r="I496">
        <v>119646</v>
      </c>
      <c r="J496">
        <v>133</v>
      </c>
      <c r="K496">
        <v>8</v>
      </c>
      <c r="L496" t="s">
        <v>17</v>
      </c>
      <c r="M496" t="str">
        <f t="shared" si="14"/>
        <v>Available</v>
      </c>
      <c r="N496">
        <f t="shared" si="15"/>
        <v>23929.200000000001</v>
      </c>
    </row>
    <row r="497" spans="1:14" x14ac:dyDescent="0.3">
      <c r="A497" t="s">
        <v>537</v>
      </c>
      <c r="B497" s="1">
        <v>45810</v>
      </c>
      <c r="C497" t="s">
        <v>38</v>
      </c>
      <c r="D497" t="s">
        <v>31</v>
      </c>
      <c r="E497" t="s">
        <v>32</v>
      </c>
      <c r="F497" t="s">
        <v>21</v>
      </c>
      <c r="G497">
        <v>31</v>
      </c>
      <c r="H497">
        <v>822</v>
      </c>
      <c r="I497">
        <v>25482</v>
      </c>
      <c r="J497">
        <v>224</v>
      </c>
      <c r="K497">
        <v>6</v>
      </c>
      <c r="L497" t="s">
        <v>17</v>
      </c>
      <c r="M497" t="str">
        <f t="shared" si="14"/>
        <v>Available</v>
      </c>
      <c r="N497">
        <f t="shared" si="15"/>
        <v>5096.4000000000005</v>
      </c>
    </row>
    <row r="498" spans="1:14" x14ac:dyDescent="0.3">
      <c r="A498" t="s">
        <v>538</v>
      </c>
      <c r="B498" s="1">
        <v>45817</v>
      </c>
      <c r="C498" t="s">
        <v>19</v>
      </c>
      <c r="D498" t="s">
        <v>51</v>
      </c>
      <c r="E498" t="s">
        <v>52</v>
      </c>
      <c r="F498" t="s">
        <v>21</v>
      </c>
      <c r="G498">
        <v>14</v>
      </c>
      <c r="H498">
        <v>3062</v>
      </c>
      <c r="I498">
        <v>42868</v>
      </c>
      <c r="J498">
        <v>271</v>
      </c>
      <c r="K498">
        <v>2</v>
      </c>
      <c r="L498" t="s">
        <v>22</v>
      </c>
      <c r="M498" t="str">
        <f t="shared" si="14"/>
        <v>Available</v>
      </c>
      <c r="N498">
        <f t="shared" si="15"/>
        <v>8573.6</v>
      </c>
    </row>
    <row r="499" spans="1:14" x14ac:dyDescent="0.3">
      <c r="A499" t="s">
        <v>539</v>
      </c>
      <c r="B499" s="1">
        <v>45728</v>
      </c>
      <c r="C499" t="s">
        <v>38</v>
      </c>
      <c r="D499" t="s">
        <v>27</v>
      </c>
      <c r="E499" t="s">
        <v>83</v>
      </c>
      <c r="F499" t="s">
        <v>16</v>
      </c>
      <c r="G499">
        <v>47</v>
      </c>
      <c r="H499">
        <v>3409</v>
      </c>
      <c r="I499">
        <v>160223</v>
      </c>
      <c r="J499">
        <v>31</v>
      </c>
      <c r="K499">
        <v>7</v>
      </c>
      <c r="L499" t="s">
        <v>17</v>
      </c>
      <c r="M499" t="str">
        <f t="shared" si="14"/>
        <v>Reorder</v>
      </c>
      <c r="N499">
        <f t="shared" si="15"/>
        <v>32044.600000000002</v>
      </c>
    </row>
    <row r="500" spans="1:14" x14ac:dyDescent="0.3">
      <c r="A500" t="s">
        <v>540</v>
      </c>
      <c r="B500" s="1">
        <v>45717</v>
      </c>
      <c r="C500" t="s">
        <v>38</v>
      </c>
      <c r="D500" t="s">
        <v>27</v>
      </c>
      <c r="E500" t="s">
        <v>64</v>
      </c>
      <c r="F500" t="s">
        <v>24</v>
      </c>
      <c r="G500">
        <v>19</v>
      </c>
      <c r="H500">
        <v>4160</v>
      </c>
      <c r="I500">
        <v>79040</v>
      </c>
      <c r="J500">
        <v>47</v>
      </c>
      <c r="K500">
        <v>5</v>
      </c>
      <c r="L500" t="s">
        <v>22</v>
      </c>
      <c r="M500" t="str">
        <f t="shared" si="14"/>
        <v>Reorder</v>
      </c>
      <c r="N500">
        <f t="shared" si="15"/>
        <v>15808</v>
      </c>
    </row>
    <row r="501" spans="1:14" x14ac:dyDescent="0.3">
      <c r="A501" t="s">
        <v>541</v>
      </c>
      <c r="B501" s="1">
        <v>45670</v>
      </c>
      <c r="C501" t="s">
        <v>38</v>
      </c>
      <c r="D501" t="s">
        <v>27</v>
      </c>
      <c r="E501" t="s">
        <v>34</v>
      </c>
      <c r="F501" t="s">
        <v>24</v>
      </c>
      <c r="G501">
        <v>13</v>
      </c>
      <c r="H501">
        <v>2326</v>
      </c>
      <c r="I501">
        <v>30238</v>
      </c>
      <c r="J501">
        <v>11</v>
      </c>
      <c r="K501">
        <v>6</v>
      </c>
      <c r="L501" t="s">
        <v>17</v>
      </c>
      <c r="M501" t="str">
        <f t="shared" si="14"/>
        <v>Reorder</v>
      </c>
      <c r="N501">
        <f t="shared" si="15"/>
        <v>6047.6</v>
      </c>
    </row>
    <row r="502" spans="1:14" x14ac:dyDescent="0.3">
      <c r="A502" t="s">
        <v>542</v>
      </c>
      <c r="B502" s="1">
        <v>45949</v>
      </c>
      <c r="C502" t="s">
        <v>26</v>
      </c>
      <c r="D502" t="s">
        <v>27</v>
      </c>
      <c r="E502" t="s">
        <v>28</v>
      </c>
      <c r="F502" t="s">
        <v>16</v>
      </c>
      <c r="G502">
        <v>3</v>
      </c>
      <c r="H502">
        <v>3570</v>
      </c>
      <c r="I502">
        <v>10710</v>
      </c>
      <c r="J502">
        <v>209</v>
      </c>
      <c r="K502">
        <v>2</v>
      </c>
      <c r="L502" t="s">
        <v>22</v>
      </c>
      <c r="M502" t="str">
        <f t="shared" si="14"/>
        <v>Available</v>
      </c>
      <c r="N502">
        <f t="shared" si="15"/>
        <v>2142</v>
      </c>
    </row>
    <row r="503" spans="1:14" x14ac:dyDescent="0.3">
      <c r="A503" t="s">
        <v>543</v>
      </c>
      <c r="B503" s="1">
        <v>45673</v>
      </c>
      <c r="C503" t="s">
        <v>13</v>
      </c>
      <c r="D503" t="s">
        <v>31</v>
      </c>
      <c r="E503" t="s">
        <v>45</v>
      </c>
      <c r="F503" t="s">
        <v>24</v>
      </c>
      <c r="G503">
        <v>31</v>
      </c>
      <c r="H503">
        <v>859</v>
      </c>
      <c r="I503">
        <v>26629</v>
      </c>
      <c r="J503">
        <v>228</v>
      </c>
      <c r="K503">
        <v>9</v>
      </c>
      <c r="L503" t="s">
        <v>17</v>
      </c>
      <c r="M503" t="str">
        <f t="shared" si="14"/>
        <v>Available</v>
      </c>
      <c r="N503">
        <f t="shared" si="15"/>
        <v>5325.8</v>
      </c>
    </row>
    <row r="504" spans="1:14" x14ac:dyDescent="0.3">
      <c r="A504" t="s">
        <v>544</v>
      </c>
      <c r="B504" s="1">
        <v>45762</v>
      </c>
      <c r="C504" t="s">
        <v>19</v>
      </c>
      <c r="D504" t="s">
        <v>14</v>
      </c>
      <c r="E504" t="s">
        <v>58</v>
      </c>
      <c r="F504" t="s">
        <v>29</v>
      </c>
      <c r="G504">
        <v>4</v>
      </c>
      <c r="H504">
        <v>2892</v>
      </c>
      <c r="I504">
        <v>11568</v>
      </c>
      <c r="J504">
        <v>96</v>
      </c>
      <c r="K504">
        <v>3</v>
      </c>
      <c r="L504" t="s">
        <v>22</v>
      </c>
      <c r="M504" t="str">
        <f t="shared" si="14"/>
        <v>Available</v>
      </c>
      <c r="N504">
        <f t="shared" si="15"/>
        <v>2313.6</v>
      </c>
    </row>
    <row r="505" spans="1:14" x14ac:dyDescent="0.3">
      <c r="A505" t="s">
        <v>545</v>
      </c>
      <c r="B505" s="1">
        <v>45889</v>
      </c>
      <c r="C505" t="s">
        <v>38</v>
      </c>
      <c r="D505" t="s">
        <v>14</v>
      </c>
      <c r="E505" t="s">
        <v>42</v>
      </c>
      <c r="F505" t="s">
        <v>29</v>
      </c>
      <c r="G505">
        <v>11</v>
      </c>
      <c r="H505">
        <v>1430</v>
      </c>
      <c r="I505">
        <v>15730</v>
      </c>
      <c r="J505">
        <v>247</v>
      </c>
      <c r="K505">
        <v>9</v>
      </c>
      <c r="L505" t="s">
        <v>17</v>
      </c>
      <c r="M505" t="str">
        <f t="shared" si="14"/>
        <v>Available</v>
      </c>
      <c r="N505">
        <f t="shared" si="15"/>
        <v>3146</v>
      </c>
    </row>
    <row r="506" spans="1:14" x14ac:dyDescent="0.3">
      <c r="A506" t="s">
        <v>546</v>
      </c>
      <c r="B506" s="1">
        <v>45898</v>
      </c>
      <c r="C506" t="s">
        <v>26</v>
      </c>
      <c r="D506" t="s">
        <v>31</v>
      </c>
      <c r="E506" t="s">
        <v>32</v>
      </c>
      <c r="F506" t="s">
        <v>24</v>
      </c>
      <c r="G506">
        <v>46</v>
      </c>
      <c r="H506">
        <v>4343</v>
      </c>
      <c r="I506">
        <v>199778</v>
      </c>
      <c r="J506">
        <v>220</v>
      </c>
      <c r="K506">
        <v>6</v>
      </c>
      <c r="L506" t="s">
        <v>17</v>
      </c>
      <c r="M506" t="str">
        <f t="shared" si="14"/>
        <v>Available</v>
      </c>
      <c r="N506">
        <f t="shared" si="15"/>
        <v>39955.600000000006</v>
      </c>
    </row>
    <row r="507" spans="1:14" x14ac:dyDescent="0.3">
      <c r="A507" t="s">
        <v>547</v>
      </c>
      <c r="B507" s="1">
        <v>45814</v>
      </c>
      <c r="C507" t="s">
        <v>13</v>
      </c>
      <c r="D507" t="s">
        <v>31</v>
      </c>
      <c r="E507" t="s">
        <v>76</v>
      </c>
      <c r="F507" t="s">
        <v>24</v>
      </c>
      <c r="G507">
        <v>46</v>
      </c>
      <c r="H507">
        <v>3752</v>
      </c>
      <c r="I507">
        <v>172592</v>
      </c>
      <c r="J507">
        <v>188</v>
      </c>
      <c r="K507">
        <v>7</v>
      </c>
      <c r="L507" t="s">
        <v>17</v>
      </c>
      <c r="M507" t="str">
        <f t="shared" si="14"/>
        <v>Available</v>
      </c>
      <c r="N507">
        <f t="shared" si="15"/>
        <v>34518.400000000001</v>
      </c>
    </row>
    <row r="508" spans="1:14" x14ac:dyDescent="0.3">
      <c r="A508" t="s">
        <v>548</v>
      </c>
      <c r="B508" s="1">
        <v>45811</v>
      </c>
      <c r="C508" t="s">
        <v>13</v>
      </c>
      <c r="D508" t="s">
        <v>31</v>
      </c>
      <c r="E508" t="s">
        <v>32</v>
      </c>
      <c r="F508" t="s">
        <v>16</v>
      </c>
      <c r="G508">
        <v>34</v>
      </c>
      <c r="H508">
        <v>2884</v>
      </c>
      <c r="I508">
        <v>98056</v>
      </c>
      <c r="J508">
        <v>271</v>
      </c>
      <c r="K508">
        <v>9</v>
      </c>
      <c r="L508" t="s">
        <v>17</v>
      </c>
      <c r="M508" t="str">
        <f t="shared" si="14"/>
        <v>Available</v>
      </c>
      <c r="N508">
        <f t="shared" si="15"/>
        <v>19611.2</v>
      </c>
    </row>
    <row r="509" spans="1:14" x14ac:dyDescent="0.3">
      <c r="A509" t="s">
        <v>549</v>
      </c>
      <c r="B509" s="1">
        <v>45748</v>
      </c>
      <c r="C509" t="s">
        <v>13</v>
      </c>
      <c r="D509" t="s">
        <v>31</v>
      </c>
      <c r="E509" t="s">
        <v>76</v>
      </c>
      <c r="F509" t="s">
        <v>29</v>
      </c>
      <c r="G509">
        <v>11</v>
      </c>
      <c r="H509">
        <v>4404</v>
      </c>
      <c r="I509">
        <v>48444</v>
      </c>
      <c r="J509">
        <v>191</v>
      </c>
      <c r="K509">
        <v>6</v>
      </c>
      <c r="L509" t="s">
        <v>17</v>
      </c>
      <c r="M509" t="str">
        <f t="shared" si="14"/>
        <v>Available</v>
      </c>
      <c r="N509">
        <f t="shared" si="15"/>
        <v>9688.8000000000011</v>
      </c>
    </row>
    <row r="510" spans="1:14" x14ac:dyDescent="0.3">
      <c r="A510" t="s">
        <v>550</v>
      </c>
      <c r="B510" s="1">
        <v>45740</v>
      </c>
      <c r="C510" t="s">
        <v>38</v>
      </c>
      <c r="D510" t="s">
        <v>14</v>
      </c>
      <c r="E510" t="s">
        <v>15</v>
      </c>
      <c r="F510" t="s">
        <v>21</v>
      </c>
      <c r="G510">
        <v>22</v>
      </c>
      <c r="H510">
        <v>772</v>
      </c>
      <c r="I510">
        <v>16984</v>
      </c>
      <c r="J510">
        <v>266</v>
      </c>
      <c r="K510">
        <v>7</v>
      </c>
      <c r="L510" t="s">
        <v>17</v>
      </c>
      <c r="M510" t="str">
        <f t="shared" si="14"/>
        <v>Available</v>
      </c>
      <c r="N510">
        <f t="shared" si="15"/>
        <v>3396.8</v>
      </c>
    </row>
    <row r="511" spans="1:14" x14ac:dyDescent="0.3">
      <c r="A511" t="s">
        <v>551</v>
      </c>
      <c r="B511" s="1">
        <v>45898</v>
      </c>
      <c r="C511" t="s">
        <v>13</v>
      </c>
      <c r="D511" t="s">
        <v>27</v>
      </c>
      <c r="E511" t="s">
        <v>34</v>
      </c>
      <c r="F511" t="s">
        <v>29</v>
      </c>
      <c r="G511">
        <v>25</v>
      </c>
      <c r="H511">
        <v>4915</v>
      </c>
      <c r="I511">
        <v>122875</v>
      </c>
      <c r="J511">
        <v>54</v>
      </c>
      <c r="K511">
        <v>5</v>
      </c>
      <c r="L511" t="s">
        <v>22</v>
      </c>
      <c r="M511" t="str">
        <f t="shared" si="14"/>
        <v>Available</v>
      </c>
      <c r="N511">
        <f t="shared" si="15"/>
        <v>24575</v>
      </c>
    </row>
    <row r="512" spans="1:14" x14ac:dyDescent="0.3">
      <c r="A512" t="s">
        <v>552</v>
      </c>
      <c r="B512" s="1">
        <v>45898</v>
      </c>
      <c r="C512" t="s">
        <v>13</v>
      </c>
      <c r="D512" t="s">
        <v>31</v>
      </c>
      <c r="E512" t="s">
        <v>45</v>
      </c>
      <c r="F512" t="s">
        <v>29</v>
      </c>
      <c r="G512">
        <v>7</v>
      </c>
      <c r="H512">
        <v>4280</v>
      </c>
      <c r="I512">
        <v>29960</v>
      </c>
      <c r="J512">
        <v>70</v>
      </c>
      <c r="K512">
        <v>2</v>
      </c>
      <c r="L512" t="s">
        <v>22</v>
      </c>
      <c r="M512" t="str">
        <f t="shared" si="14"/>
        <v>Available</v>
      </c>
      <c r="N512">
        <f t="shared" si="15"/>
        <v>5992</v>
      </c>
    </row>
    <row r="513" spans="1:14" x14ac:dyDescent="0.3">
      <c r="A513" t="s">
        <v>553</v>
      </c>
      <c r="B513" s="1">
        <v>45793</v>
      </c>
      <c r="C513" t="s">
        <v>19</v>
      </c>
      <c r="D513" t="s">
        <v>14</v>
      </c>
      <c r="E513" t="s">
        <v>20</v>
      </c>
      <c r="F513" t="s">
        <v>24</v>
      </c>
      <c r="G513">
        <v>20</v>
      </c>
      <c r="H513">
        <v>3330</v>
      </c>
      <c r="I513">
        <v>66600</v>
      </c>
      <c r="J513">
        <v>44</v>
      </c>
      <c r="K513">
        <v>5</v>
      </c>
      <c r="L513" t="s">
        <v>22</v>
      </c>
      <c r="M513" t="str">
        <f t="shared" si="14"/>
        <v>Reorder</v>
      </c>
      <c r="N513">
        <f t="shared" si="15"/>
        <v>13320</v>
      </c>
    </row>
    <row r="514" spans="1:14" x14ac:dyDescent="0.3">
      <c r="A514" t="s">
        <v>554</v>
      </c>
      <c r="B514" s="1">
        <v>45843</v>
      </c>
      <c r="C514" t="s">
        <v>38</v>
      </c>
      <c r="D514" t="s">
        <v>14</v>
      </c>
      <c r="E514" t="s">
        <v>20</v>
      </c>
      <c r="F514" t="s">
        <v>16</v>
      </c>
      <c r="G514">
        <v>42</v>
      </c>
      <c r="H514">
        <v>4207</v>
      </c>
      <c r="I514">
        <v>176694</v>
      </c>
      <c r="J514">
        <v>54</v>
      </c>
      <c r="K514">
        <v>9</v>
      </c>
      <c r="L514" t="s">
        <v>17</v>
      </c>
      <c r="M514" t="str">
        <f t="shared" si="14"/>
        <v>Available</v>
      </c>
      <c r="N514">
        <f t="shared" si="15"/>
        <v>35338.800000000003</v>
      </c>
    </row>
    <row r="515" spans="1:14" x14ac:dyDescent="0.3">
      <c r="A515" t="s">
        <v>555</v>
      </c>
      <c r="B515" s="1">
        <v>45952</v>
      </c>
      <c r="C515" t="s">
        <v>19</v>
      </c>
      <c r="D515" t="s">
        <v>14</v>
      </c>
      <c r="E515" t="s">
        <v>15</v>
      </c>
      <c r="F515" t="s">
        <v>29</v>
      </c>
      <c r="G515">
        <v>50</v>
      </c>
      <c r="H515">
        <v>1816</v>
      </c>
      <c r="I515">
        <v>90800</v>
      </c>
      <c r="J515">
        <v>154</v>
      </c>
      <c r="K515">
        <v>4</v>
      </c>
      <c r="L515" t="s">
        <v>22</v>
      </c>
      <c r="M515" t="str">
        <f t="shared" ref="M515:M578" si="16">IF(J515&lt;50,"Reorder","Available")</f>
        <v>Available</v>
      </c>
      <c r="N515">
        <f t="shared" ref="N515:N578" si="17">I515*20%</f>
        <v>18160</v>
      </c>
    </row>
    <row r="516" spans="1:14" x14ac:dyDescent="0.3">
      <c r="A516" t="s">
        <v>556</v>
      </c>
      <c r="B516" s="1">
        <v>45759</v>
      </c>
      <c r="C516" t="s">
        <v>13</v>
      </c>
      <c r="D516" t="s">
        <v>27</v>
      </c>
      <c r="E516" t="s">
        <v>34</v>
      </c>
      <c r="F516" t="s">
        <v>24</v>
      </c>
      <c r="G516">
        <v>15</v>
      </c>
      <c r="H516">
        <v>4231</v>
      </c>
      <c r="I516">
        <v>63465</v>
      </c>
      <c r="J516">
        <v>266</v>
      </c>
      <c r="K516">
        <v>5</v>
      </c>
      <c r="L516" t="s">
        <v>22</v>
      </c>
      <c r="M516" t="str">
        <f t="shared" si="16"/>
        <v>Available</v>
      </c>
      <c r="N516">
        <f t="shared" si="17"/>
        <v>12693</v>
      </c>
    </row>
    <row r="517" spans="1:14" x14ac:dyDescent="0.3">
      <c r="A517" t="s">
        <v>557</v>
      </c>
      <c r="B517" s="1">
        <v>45827</v>
      </c>
      <c r="C517" t="s">
        <v>38</v>
      </c>
      <c r="D517" t="s">
        <v>31</v>
      </c>
      <c r="E517" t="s">
        <v>76</v>
      </c>
      <c r="F517" t="s">
        <v>21</v>
      </c>
      <c r="G517">
        <v>7</v>
      </c>
      <c r="H517">
        <v>1504</v>
      </c>
      <c r="I517">
        <v>10528</v>
      </c>
      <c r="J517">
        <v>154</v>
      </c>
      <c r="K517">
        <v>5</v>
      </c>
      <c r="L517" t="s">
        <v>22</v>
      </c>
      <c r="M517" t="str">
        <f t="shared" si="16"/>
        <v>Available</v>
      </c>
      <c r="N517">
        <f t="shared" si="17"/>
        <v>2105.6</v>
      </c>
    </row>
    <row r="518" spans="1:14" x14ac:dyDescent="0.3">
      <c r="A518" t="s">
        <v>558</v>
      </c>
      <c r="B518" s="1">
        <v>45684</v>
      </c>
      <c r="C518" t="s">
        <v>26</v>
      </c>
      <c r="D518" t="s">
        <v>14</v>
      </c>
      <c r="E518" t="s">
        <v>58</v>
      </c>
      <c r="F518" t="s">
        <v>29</v>
      </c>
      <c r="G518">
        <v>4</v>
      </c>
      <c r="H518">
        <v>2604</v>
      </c>
      <c r="I518">
        <v>10416</v>
      </c>
      <c r="J518">
        <v>229</v>
      </c>
      <c r="K518">
        <v>3</v>
      </c>
      <c r="L518" t="s">
        <v>22</v>
      </c>
      <c r="M518" t="str">
        <f t="shared" si="16"/>
        <v>Available</v>
      </c>
      <c r="N518">
        <f t="shared" si="17"/>
        <v>2083.2000000000003</v>
      </c>
    </row>
    <row r="519" spans="1:14" x14ac:dyDescent="0.3">
      <c r="A519" t="s">
        <v>559</v>
      </c>
      <c r="B519" s="1">
        <v>45878</v>
      </c>
      <c r="C519" t="s">
        <v>26</v>
      </c>
      <c r="D519" t="s">
        <v>27</v>
      </c>
      <c r="E519" t="s">
        <v>83</v>
      </c>
      <c r="F519" t="s">
        <v>16</v>
      </c>
      <c r="G519">
        <v>7</v>
      </c>
      <c r="H519">
        <v>556</v>
      </c>
      <c r="I519">
        <v>3892</v>
      </c>
      <c r="J519">
        <v>120</v>
      </c>
      <c r="K519">
        <v>2</v>
      </c>
      <c r="L519" t="s">
        <v>22</v>
      </c>
      <c r="M519" t="str">
        <f t="shared" si="16"/>
        <v>Available</v>
      </c>
      <c r="N519">
        <f t="shared" si="17"/>
        <v>778.40000000000009</v>
      </c>
    </row>
    <row r="520" spans="1:14" x14ac:dyDescent="0.3">
      <c r="A520" t="s">
        <v>560</v>
      </c>
      <c r="B520" s="1">
        <v>45811</v>
      </c>
      <c r="C520" t="s">
        <v>19</v>
      </c>
      <c r="D520" t="s">
        <v>31</v>
      </c>
      <c r="E520" t="s">
        <v>45</v>
      </c>
      <c r="F520" t="s">
        <v>21</v>
      </c>
      <c r="G520">
        <v>8</v>
      </c>
      <c r="H520">
        <v>732</v>
      </c>
      <c r="I520">
        <v>5856</v>
      </c>
      <c r="J520">
        <v>39</v>
      </c>
      <c r="K520">
        <v>5</v>
      </c>
      <c r="L520" t="s">
        <v>22</v>
      </c>
      <c r="M520" t="str">
        <f t="shared" si="16"/>
        <v>Reorder</v>
      </c>
      <c r="N520">
        <f t="shared" si="17"/>
        <v>1171.2</v>
      </c>
    </row>
    <row r="521" spans="1:14" x14ac:dyDescent="0.3">
      <c r="A521" t="s">
        <v>561</v>
      </c>
      <c r="B521" s="1">
        <v>45853</v>
      </c>
      <c r="C521" t="s">
        <v>38</v>
      </c>
      <c r="D521" t="s">
        <v>14</v>
      </c>
      <c r="E521" t="s">
        <v>58</v>
      </c>
      <c r="F521" t="s">
        <v>29</v>
      </c>
      <c r="G521">
        <v>27</v>
      </c>
      <c r="H521">
        <v>3725</v>
      </c>
      <c r="I521">
        <v>100575</v>
      </c>
      <c r="J521">
        <v>82</v>
      </c>
      <c r="K521">
        <v>10</v>
      </c>
      <c r="L521" t="s">
        <v>17</v>
      </c>
      <c r="M521" t="str">
        <f t="shared" si="16"/>
        <v>Available</v>
      </c>
      <c r="N521">
        <f t="shared" si="17"/>
        <v>20115</v>
      </c>
    </row>
    <row r="522" spans="1:14" x14ac:dyDescent="0.3">
      <c r="A522" t="s">
        <v>562</v>
      </c>
      <c r="B522" s="1">
        <v>45994</v>
      </c>
      <c r="C522" t="s">
        <v>13</v>
      </c>
      <c r="D522" t="s">
        <v>27</v>
      </c>
      <c r="E522" t="s">
        <v>34</v>
      </c>
      <c r="F522" t="s">
        <v>24</v>
      </c>
      <c r="G522">
        <v>2</v>
      </c>
      <c r="H522">
        <v>659</v>
      </c>
      <c r="I522">
        <v>1318</v>
      </c>
      <c r="J522">
        <v>208</v>
      </c>
      <c r="K522">
        <v>7</v>
      </c>
      <c r="L522" t="s">
        <v>17</v>
      </c>
      <c r="M522" t="str">
        <f t="shared" si="16"/>
        <v>Available</v>
      </c>
      <c r="N522">
        <f t="shared" si="17"/>
        <v>263.60000000000002</v>
      </c>
    </row>
    <row r="523" spans="1:14" x14ac:dyDescent="0.3">
      <c r="A523" t="s">
        <v>563</v>
      </c>
      <c r="B523" s="1">
        <v>45865</v>
      </c>
      <c r="C523" t="s">
        <v>26</v>
      </c>
      <c r="D523" t="s">
        <v>27</v>
      </c>
      <c r="E523" t="s">
        <v>34</v>
      </c>
      <c r="F523" t="s">
        <v>24</v>
      </c>
      <c r="G523">
        <v>24</v>
      </c>
      <c r="H523">
        <v>3386</v>
      </c>
      <c r="I523">
        <v>81264</v>
      </c>
      <c r="J523">
        <v>61</v>
      </c>
      <c r="K523">
        <v>7</v>
      </c>
      <c r="L523" t="s">
        <v>17</v>
      </c>
      <c r="M523" t="str">
        <f t="shared" si="16"/>
        <v>Available</v>
      </c>
      <c r="N523">
        <f t="shared" si="17"/>
        <v>16252.800000000001</v>
      </c>
    </row>
    <row r="524" spans="1:14" x14ac:dyDescent="0.3">
      <c r="A524" t="s">
        <v>564</v>
      </c>
      <c r="B524" s="1">
        <v>45730</v>
      </c>
      <c r="C524" t="s">
        <v>26</v>
      </c>
      <c r="D524" t="s">
        <v>31</v>
      </c>
      <c r="E524" t="s">
        <v>32</v>
      </c>
      <c r="F524" t="s">
        <v>16</v>
      </c>
      <c r="G524">
        <v>12</v>
      </c>
      <c r="H524">
        <v>3654</v>
      </c>
      <c r="I524">
        <v>43848</v>
      </c>
      <c r="J524">
        <v>90</v>
      </c>
      <c r="K524">
        <v>6</v>
      </c>
      <c r="L524" t="s">
        <v>17</v>
      </c>
      <c r="M524" t="str">
        <f t="shared" si="16"/>
        <v>Available</v>
      </c>
      <c r="N524">
        <f t="shared" si="17"/>
        <v>8769.6</v>
      </c>
    </row>
    <row r="525" spans="1:14" x14ac:dyDescent="0.3">
      <c r="A525" t="s">
        <v>565</v>
      </c>
      <c r="B525" s="1">
        <v>45894</v>
      </c>
      <c r="C525" t="s">
        <v>19</v>
      </c>
      <c r="D525" t="s">
        <v>31</v>
      </c>
      <c r="E525" t="s">
        <v>45</v>
      </c>
      <c r="F525" t="s">
        <v>24</v>
      </c>
      <c r="G525">
        <v>40</v>
      </c>
      <c r="H525">
        <v>4139</v>
      </c>
      <c r="I525">
        <v>165560</v>
      </c>
      <c r="J525">
        <v>273</v>
      </c>
      <c r="K525">
        <v>3</v>
      </c>
      <c r="L525" t="s">
        <v>22</v>
      </c>
      <c r="M525" t="str">
        <f t="shared" si="16"/>
        <v>Available</v>
      </c>
      <c r="N525">
        <f t="shared" si="17"/>
        <v>33112</v>
      </c>
    </row>
    <row r="526" spans="1:14" x14ac:dyDescent="0.3">
      <c r="A526" t="s">
        <v>566</v>
      </c>
      <c r="B526" s="1">
        <v>45911</v>
      </c>
      <c r="C526" t="s">
        <v>19</v>
      </c>
      <c r="D526" t="s">
        <v>14</v>
      </c>
      <c r="E526" t="s">
        <v>15</v>
      </c>
      <c r="F526" t="s">
        <v>24</v>
      </c>
      <c r="G526">
        <v>16</v>
      </c>
      <c r="H526">
        <v>4913</v>
      </c>
      <c r="I526">
        <v>78608</v>
      </c>
      <c r="J526">
        <v>206</v>
      </c>
      <c r="K526">
        <v>9</v>
      </c>
      <c r="L526" t="s">
        <v>17</v>
      </c>
      <c r="M526" t="str">
        <f t="shared" si="16"/>
        <v>Available</v>
      </c>
      <c r="N526">
        <f t="shared" si="17"/>
        <v>15721.6</v>
      </c>
    </row>
    <row r="527" spans="1:14" x14ac:dyDescent="0.3">
      <c r="A527" t="s">
        <v>567</v>
      </c>
      <c r="B527" s="1">
        <v>45778</v>
      </c>
      <c r="C527" t="s">
        <v>38</v>
      </c>
      <c r="D527" t="s">
        <v>51</v>
      </c>
      <c r="E527" t="s">
        <v>52</v>
      </c>
      <c r="F527" t="s">
        <v>16</v>
      </c>
      <c r="G527">
        <v>49</v>
      </c>
      <c r="H527">
        <v>2255</v>
      </c>
      <c r="I527">
        <v>110495</v>
      </c>
      <c r="J527">
        <v>238</v>
      </c>
      <c r="K527">
        <v>9</v>
      </c>
      <c r="L527" t="s">
        <v>17</v>
      </c>
      <c r="M527" t="str">
        <f t="shared" si="16"/>
        <v>Available</v>
      </c>
      <c r="N527">
        <f t="shared" si="17"/>
        <v>22099</v>
      </c>
    </row>
    <row r="528" spans="1:14" x14ac:dyDescent="0.3">
      <c r="A528" t="s">
        <v>568</v>
      </c>
      <c r="B528" s="1">
        <v>45875</v>
      </c>
      <c r="C528" t="s">
        <v>26</v>
      </c>
      <c r="D528" t="s">
        <v>31</v>
      </c>
      <c r="E528" t="s">
        <v>76</v>
      </c>
      <c r="F528" t="s">
        <v>21</v>
      </c>
      <c r="G528">
        <v>48</v>
      </c>
      <c r="H528">
        <v>829</v>
      </c>
      <c r="I528">
        <v>39792</v>
      </c>
      <c r="J528">
        <v>135</v>
      </c>
      <c r="K528">
        <v>6</v>
      </c>
      <c r="L528" t="s">
        <v>17</v>
      </c>
      <c r="M528" t="str">
        <f t="shared" si="16"/>
        <v>Available</v>
      </c>
      <c r="N528">
        <f t="shared" si="17"/>
        <v>7958.4000000000005</v>
      </c>
    </row>
    <row r="529" spans="1:14" x14ac:dyDescent="0.3">
      <c r="A529" t="s">
        <v>569</v>
      </c>
      <c r="B529" s="1">
        <v>45891</v>
      </c>
      <c r="C529" t="s">
        <v>13</v>
      </c>
      <c r="D529" t="s">
        <v>31</v>
      </c>
      <c r="E529" t="s">
        <v>45</v>
      </c>
      <c r="F529" t="s">
        <v>21</v>
      </c>
      <c r="G529">
        <v>10</v>
      </c>
      <c r="H529">
        <v>563</v>
      </c>
      <c r="I529">
        <v>5630</v>
      </c>
      <c r="J529">
        <v>86</v>
      </c>
      <c r="K529">
        <v>4</v>
      </c>
      <c r="L529" t="s">
        <v>22</v>
      </c>
      <c r="M529" t="str">
        <f t="shared" si="16"/>
        <v>Available</v>
      </c>
      <c r="N529">
        <f t="shared" si="17"/>
        <v>1126</v>
      </c>
    </row>
    <row r="530" spans="1:14" x14ac:dyDescent="0.3">
      <c r="A530" t="s">
        <v>570</v>
      </c>
      <c r="B530" s="1">
        <v>45881</v>
      </c>
      <c r="C530" t="s">
        <v>38</v>
      </c>
      <c r="D530" t="s">
        <v>31</v>
      </c>
      <c r="E530" t="s">
        <v>40</v>
      </c>
      <c r="F530" t="s">
        <v>21</v>
      </c>
      <c r="G530">
        <v>34</v>
      </c>
      <c r="H530">
        <v>1900</v>
      </c>
      <c r="I530">
        <v>64600</v>
      </c>
      <c r="J530">
        <v>85</v>
      </c>
      <c r="K530">
        <v>5</v>
      </c>
      <c r="L530" t="s">
        <v>22</v>
      </c>
      <c r="M530" t="str">
        <f t="shared" si="16"/>
        <v>Available</v>
      </c>
      <c r="N530">
        <f t="shared" si="17"/>
        <v>12920</v>
      </c>
    </row>
    <row r="531" spans="1:14" x14ac:dyDescent="0.3">
      <c r="A531" t="s">
        <v>571</v>
      </c>
      <c r="B531" s="1">
        <v>45880</v>
      </c>
      <c r="C531" t="s">
        <v>38</v>
      </c>
      <c r="D531" t="s">
        <v>14</v>
      </c>
      <c r="E531" t="s">
        <v>20</v>
      </c>
      <c r="F531" t="s">
        <v>24</v>
      </c>
      <c r="G531">
        <v>19</v>
      </c>
      <c r="H531">
        <v>4878</v>
      </c>
      <c r="I531">
        <v>92682</v>
      </c>
      <c r="J531">
        <v>172</v>
      </c>
      <c r="K531">
        <v>5</v>
      </c>
      <c r="L531" t="s">
        <v>22</v>
      </c>
      <c r="M531" t="str">
        <f t="shared" si="16"/>
        <v>Available</v>
      </c>
      <c r="N531">
        <f t="shared" si="17"/>
        <v>18536.400000000001</v>
      </c>
    </row>
    <row r="532" spans="1:14" x14ac:dyDescent="0.3">
      <c r="A532" t="s">
        <v>572</v>
      </c>
      <c r="B532" s="1">
        <v>45671</v>
      </c>
      <c r="C532" t="s">
        <v>26</v>
      </c>
      <c r="D532" t="s">
        <v>14</v>
      </c>
      <c r="E532" t="s">
        <v>58</v>
      </c>
      <c r="F532" t="s">
        <v>16</v>
      </c>
      <c r="G532">
        <v>17</v>
      </c>
      <c r="H532">
        <v>3193</v>
      </c>
      <c r="I532">
        <v>54281</v>
      </c>
      <c r="J532">
        <v>277</v>
      </c>
      <c r="K532">
        <v>7</v>
      </c>
      <c r="L532" t="s">
        <v>17</v>
      </c>
      <c r="M532" t="str">
        <f t="shared" si="16"/>
        <v>Available</v>
      </c>
      <c r="N532">
        <f t="shared" si="17"/>
        <v>10856.2</v>
      </c>
    </row>
    <row r="533" spans="1:14" x14ac:dyDescent="0.3">
      <c r="A533" t="s">
        <v>573</v>
      </c>
      <c r="B533" s="1">
        <v>45878</v>
      </c>
      <c r="C533" t="s">
        <v>19</v>
      </c>
      <c r="D533" t="s">
        <v>31</v>
      </c>
      <c r="E533" t="s">
        <v>32</v>
      </c>
      <c r="F533" t="s">
        <v>24</v>
      </c>
      <c r="G533">
        <v>40</v>
      </c>
      <c r="H533">
        <v>1388</v>
      </c>
      <c r="I533">
        <v>55520</v>
      </c>
      <c r="J533">
        <v>271</v>
      </c>
      <c r="K533">
        <v>5</v>
      </c>
      <c r="L533" t="s">
        <v>22</v>
      </c>
      <c r="M533" t="str">
        <f t="shared" si="16"/>
        <v>Available</v>
      </c>
      <c r="N533">
        <f t="shared" si="17"/>
        <v>11104</v>
      </c>
    </row>
    <row r="534" spans="1:14" x14ac:dyDescent="0.3">
      <c r="A534" t="s">
        <v>574</v>
      </c>
      <c r="B534" s="1">
        <v>45841</v>
      </c>
      <c r="C534" t="s">
        <v>26</v>
      </c>
      <c r="D534" t="s">
        <v>51</v>
      </c>
      <c r="E534" t="s">
        <v>90</v>
      </c>
      <c r="F534" t="s">
        <v>16</v>
      </c>
      <c r="G534">
        <v>34</v>
      </c>
      <c r="H534">
        <v>3413</v>
      </c>
      <c r="I534">
        <v>116042</v>
      </c>
      <c r="J534">
        <v>46</v>
      </c>
      <c r="K534">
        <v>5</v>
      </c>
      <c r="L534" t="s">
        <v>22</v>
      </c>
      <c r="M534" t="str">
        <f t="shared" si="16"/>
        <v>Reorder</v>
      </c>
      <c r="N534">
        <f t="shared" si="17"/>
        <v>23208.400000000001</v>
      </c>
    </row>
    <row r="535" spans="1:14" x14ac:dyDescent="0.3">
      <c r="A535" t="s">
        <v>575</v>
      </c>
      <c r="B535" s="1">
        <v>45721</v>
      </c>
      <c r="C535" t="s">
        <v>19</v>
      </c>
      <c r="D535" t="s">
        <v>51</v>
      </c>
      <c r="E535" t="s">
        <v>56</v>
      </c>
      <c r="F535" t="s">
        <v>24</v>
      </c>
      <c r="G535">
        <v>41</v>
      </c>
      <c r="H535">
        <v>2971</v>
      </c>
      <c r="I535">
        <v>121811</v>
      </c>
      <c r="J535">
        <v>110</v>
      </c>
      <c r="K535">
        <v>6</v>
      </c>
      <c r="L535" t="s">
        <v>17</v>
      </c>
      <c r="M535" t="str">
        <f t="shared" si="16"/>
        <v>Available</v>
      </c>
      <c r="N535">
        <f t="shared" si="17"/>
        <v>24362.2</v>
      </c>
    </row>
    <row r="536" spans="1:14" x14ac:dyDescent="0.3">
      <c r="A536" t="s">
        <v>576</v>
      </c>
      <c r="B536" s="1">
        <v>45732</v>
      </c>
      <c r="C536" t="s">
        <v>19</v>
      </c>
      <c r="D536" t="s">
        <v>51</v>
      </c>
      <c r="E536" t="s">
        <v>90</v>
      </c>
      <c r="F536" t="s">
        <v>29</v>
      </c>
      <c r="G536">
        <v>40</v>
      </c>
      <c r="H536">
        <v>4817</v>
      </c>
      <c r="I536">
        <v>192680</v>
      </c>
      <c r="J536">
        <v>19</v>
      </c>
      <c r="K536">
        <v>5</v>
      </c>
      <c r="L536" t="s">
        <v>22</v>
      </c>
      <c r="M536" t="str">
        <f t="shared" si="16"/>
        <v>Reorder</v>
      </c>
      <c r="N536">
        <f t="shared" si="17"/>
        <v>38536</v>
      </c>
    </row>
    <row r="537" spans="1:14" x14ac:dyDescent="0.3">
      <c r="A537" t="s">
        <v>577</v>
      </c>
      <c r="B537" s="1">
        <v>45779</v>
      </c>
      <c r="C537" t="s">
        <v>26</v>
      </c>
      <c r="D537" t="s">
        <v>14</v>
      </c>
      <c r="E537" t="s">
        <v>20</v>
      </c>
      <c r="F537" t="s">
        <v>16</v>
      </c>
      <c r="G537">
        <v>39</v>
      </c>
      <c r="H537">
        <v>3069</v>
      </c>
      <c r="I537">
        <v>119691</v>
      </c>
      <c r="J537">
        <v>257</v>
      </c>
      <c r="K537">
        <v>5</v>
      </c>
      <c r="L537" t="s">
        <v>22</v>
      </c>
      <c r="M537" t="str">
        <f t="shared" si="16"/>
        <v>Available</v>
      </c>
      <c r="N537">
        <f t="shared" si="17"/>
        <v>23938.2</v>
      </c>
    </row>
    <row r="538" spans="1:14" x14ac:dyDescent="0.3">
      <c r="A538" t="s">
        <v>578</v>
      </c>
      <c r="B538" s="1">
        <v>45837</v>
      </c>
      <c r="C538" t="s">
        <v>38</v>
      </c>
      <c r="D538" t="s">
        <v>31</v>
      </c>
      <c r="E538" t="s">
        <v>76</v>
      </c>
      <c r="F538" t="s">
        <v>29</v>
      </c>
      <c r="G538">
        <v>14</v>
      </c>
      <c r="H538">
        <v>1332</v>
      </c>
      <c r="I538">
        <v>18648</v>
      </c>
      <c r="J538">
        <v>288</v>
      </c>
      <c r="K538">
        <v>3</v>
      </c>
      <c r="L538" t="s">
        <v>22</v>
      </c>
      <c r="M538" t="str">
        <f t="shared" si="16"/>
        <v>Available</v>
      </c>
      <c r="N538">
        <f t="shared" si="17"/>
        <v>3729.6000000000004</v>
      </c>
    </row>
    <row r="539" spans="1:14" x14ac:dyDescent="0.3">
      <c r="A539" t="s">
        <v>579</v>
      </c>
      <c r="B539" s="1">
        <v>45938</v>
      </c>
      <c r="C539" t="s">
        <v>38</v>
      </c>
      <c r="D539" t="s">
        <v>31</v>
      </c>
      <c r="E539" t="s">
        <v>76</v>
      </c>
      <c r="F539" t="s">
        <v>29</v>
      </c>
      <c r="G539">
        <v>27</v>
      </c>
      <c r="H539">
        <v>3292</v>
      </c>
      <c r="I539">
        <v>88884</v>
      </c>
      <c r="J539">
        <v>33</v>
      </c>
      <c r="K539">
        <v>5</v>
      </c>
      <c r="L539" t="s">
        <v>22</v>
      </c>
      <c r="M539" t="str">
        <f t="shared" si="16"/>
        <v>Reorder</v>
      </c>
      <c r="N539">
        <f t="shared" si="17"/>
        <v>17776.8</v>
      </c>
    </row>
    <row r="540" spans="1:14" x14ac:dyDescent="0.3">
      <c r="A540" t="s">
        <v>580</v>
      </c>
      <c r="B540" s="1">
        <v>45666</v>
      </c>
      <c r="C540" t="s">
        <v>13</v>
      </c>
      <c r="D540" t="s">
        <v>31</v>
      </c>
      <c r="E540" t="s">
        <v>32</v>
      </c>
      <c r="F540" t="s">
        <v>21</v>
      </c>
      <c r="G540">
        <v>20</v>
      </c>
      <c r="H540">
        <v>3575</v>
      </c>
      <c r="I540">
        <v>71500</v>
      </c>
      <c r="J540">
        <v>254</v>
      </c>
      <c r="K540">
        <v>9</v>
      </c>
      <c r="L540" t="s">
        <v>17</v>
      </c>
      <c r="M540" t="str">
        <f t="shared" si="16"/>
        <v>Available</v>
      </c>
      <c r="N540">
        <f t="shared" si="17"/>
        <v>14300</v>
      </c>
    </row>
    <row r="541" spans="1:14" x14ac:dyDescent="0.3">
      <c r="A541" t="s">
        <v>581</v>
      </c>
      <c r="B541" s="1">
        <v>45976</v>
      </c>
      <c r="C541" t="s">
        <v>38</v>
      </c>
      <c r="D541" t="s">
        <v>27</v>
      </c>
      <c r="E541" t="s">
        <v>64</v>
      </c>
      <c r="F541" t="s">
        <v>24</v>
      </c>
      <c r="G541">
        <v>17</v>
      </c>
      <c r="H541">
        <v>4028</v>
      </c>
      <c r="I541">
        <v>68476</v>
      </c>
      <c r="J541">
        <v>224</v>
      </c>
      <c r="K541">
        <v>6</v>
      </c>
      <c r="L541" t="s">
        <v>17</v>
      </c>
      <c r="M541" t="str">
        <f t="shared" si="16"/>
        <v>Available</v>
      </c>
      <c r="N541">
        <f t="shared" si="17"/>
        <v>13695.2</v>
      </c>
    </row>
    <row r="542" spans="1:14" x14ac:dyDescent="0.3">
      <c r="A542" t="s">
        <v>582</v>
      </c>
      <c r="B542" s="1">
        <v>45998</v>
      </c>
      <c r="C542" t="s">
        <v>38</v>
      </c>
      <c r="D542" t="s">
        <v>27</v>
      </c>
      <c r="E542" t="s">
        <v>64</v>
      </c>
      <c r="F542" t="s">
        <v>16</v>
      </c>
      <c r="G542">
        <v>34</v>
      </c>
      <c r="H542">
        <v>3142</v>
      </c>
      <c r="I542">
        <v>106828</v>
      </c>
      <c r="J542">
        <v>263</v>
      </c>
      <c r="K542">
        <v>2</v>
      </c>
      <c r="L542" t="s">
        <v>22</v>
      </c>
      <c r="M542" t="str">
        <f t="shared" si="16"/>
        <v>Available</v>
      </c>
      <c r="N542">
        <f t="shared" si="17"/>
        <v>21365.600000000002</v>
      </c>
    </row>
    <row r="543" spans="1:14" x14ac:dyDescent="0.3">
      <c r="A543" t="s">
        <v>583</v>
      </c>
      <c r="B543" s="1">
        <v>45803</v>
      </c>
      <c r="C543" t="s">
        <v>13</v>
      </c>
      <c r="D543" t="s">
        <v>14</v>
      </c>
      <c r="E543" t="s">
        <v>58</v>
      </c>
      <c r="F543" t="s">
        <v>21</v>
      </c>
      <c r="G543">
        <v>44</v>
      </c>
      <c r="H543">
        <v>3607</v>
      </c>
      <c r="I543">
        <v>158708</v>
      </c>
      <c r="J543">
        <v>255</v>
      </c>
      <c r="K543">
        <v>9</v>
      </c>
      <c r="L543" t="s">
        <v>17</v>
      </c>
      <c r="M543" t="str">
        <f t="shared" si="16"/>
        <v>Available</v>
      </c>
      <c r="N543">
        <f t="shared" si="17"/>
        <v>31741.600000000002</v>
      </c>
    </row>
    <row r="544" spans="1:14" x14ac:dyDescent="0.3">
      <c r="A544" t="s">
        <v>584</v>
      </c>
      <c r="B544" s="1">
        <v>45744</v>
      </c>
      <c r="C544" t="s">
        <v>38</v>
      </c>
      <c r="D544" t="s">
        <v>51</v>
      </c>
      <c r="E544" t="s">
        <v>90</v>
      </c>
      <c r="F544" t="s">
        <v>16</v>
      </c>
      <c r="G544">
        <v>46</v>
      </c>
      <c r="H544">
        <v>4245</v>
      </c>
      <c r="I544">
        <v>195270</v>
      </c>
      <c r="J544">
        <v>86</v>
      </c>
      <c r="K544">
        <v>9</v>
      </c>
      <c r="L544" t="s">
        <v>17</v>
      </c>
      <c r="M544" t="str">
        <f t="shared" si="16"/>
        <v>Available</v>
      </c>
      <c r="N544">
        <f t="shared" si="17"/>
        <v>39054</v>
      </c>
    </row>
    <row r="545" spans="1:14" x14ac:dyDescent="0.3">
      <c r="A545" t="s">
        <v>585</v>
      </c>
      <c r="B545" s="1">
        <v>45681</v>
      </c>
      <c r="C545" t="s">
        <v>13</v>
      </c>
      <c r="D545" t="s">
        <v>27</v>
      </c>
      <c r="E545" t="s">
        <v>83</v>
      </c>
      <c r="F545" t="s">
        <v>21</v>
      </c>
      <c r="G545">
        <v>2</v>
      </c>
      <c r="H545">
        <v>1580</v>
      </c>
      <c r="I545">
        <v>3160</v>
      </c>
      <c r="J545">
        <v>82</v>
      </c>
      <c r="K545">
        <v>4</v>
      </c>
      <c r="L545" t="s">
        <v>22</v>
      </c>
      <c r="M545" t="str">
        <f t="shared" si="16"/>
        <v>Available</v>
      </c>
      <c r="N545">
        <f t="shared" si="17"/>
        <v>632</v>
      </c>
    </row>
    <row r="546" spans="1:14" x14ac:dyDescent="0.3">
      <c r="A546" t="s">
        <v>586</v>
      </c>
      <c r="B546" s="1">
        <v>45909</v>
      </c>
      <c r="C546" t="s">
        <v>26</v>
      </c>
      <c r="D546" t="s">
        <v>31</v>
      </c>
      <c r="E546" t="s">
        <v>76</v>
      </c>
      <c r="F546" t="s">
        <v>29</v>
      </c>
      <c r="G546">
        <v>28</v>
      </c>
      <c r="H546">
        <v>1645</v>
      </c>
      <c r="I546">
        <v>46060</v>
      </c>
      <c r="J546">
        <v>56</v>
      </c>
      <c r="K546">
        <v>5</v>
      </c>
      <c r="L546" t="s">
        <v>22</v>
      </c>
      <c r="M546" t="str">
        <f t="shared" si="16"/>
        <v>Available</v>
      </c>
      <c r="N546">
        <f t="shared" si="17"/>
        <v>9212</v>
      </c>
    </row>
    <row r="547" spans="1:14" x14ac:dyDescent="0.3">
      <c r="A547" t="s">
        <v>587</v>
      </c>
      <c r="B547" s="1">
        <v>45659</v>
      </c>
      <c r="C547" t="s">
        <v>19</v>
      </c>
      <c r="D547" t="s">
        <v>31</v>
      </c>
      <c r="E547" t="s">
        <v>32</v>
      </c>
      <c r="F547" t="s">
        <v>16</v>
      </c>
      <c r="G547">
        <v>38</v>
      </c>
      <c r="H547">
        <v>1157</v>
      </c>
      <c r="I547">
        <v>43966</v>
      </c>
      <c r="J547">
        <v>294</v>
      </c>
      <c r="K547">
        <v>7</v>
      </c>
      <c r="L547" t="s">
        <v>17</v>
      </c>
      <c r="M547" t="str">
        <f t="shared" si="16"/>
        <v>Available</v>
      </c>
      <c r="N547">
        <f t="shared" si="17"/>
        <v>8793.2000000000007</v>
      </c>
    </row>
    <row r="548" spans="1:14" x14ac:dyDescent="0.3">
      <c r="A548" t="s">
        <v>588</v>
      </c>
      <c r="B548" s="1">
        <v>46000</v>
      </c>
      <c r="C548" t="s">
        <v>38</v>
      </c>
      <c r="D548" t="s">
        <v>31</v>
      </c>
      <c r="E548" t="s">
        <v>45</v>
      </c>
      <c r="F548" t="s">
        <v>16</v>
      </c>
      <c r="G548">
        <v>40</v>
      </c>
      <c r="H548">
        <v>1614</v>
      </c>
      <c r="I548">
        <v>64560</v>
      </c>
      <c r="J548">
        <v>249</v>
      </c>
      <c r="K548">
        <v>4</v>
      </c>
      <c r="L548" t="s">
        <v>22</v>
      </c>
      <c r="M548" t="str">
        <f t="shared" si="16"/>
        <v>Available</v>
      </c>
      <c r="N548">
        <f t="shared" si="17"/>
        <v>12912</v>
      </c>
    </row>
    <row r="549" spans="1:14" x14ac:dyDescent="0.3">
      <c r="A549" t="s">
        <v>589</v>
      </c>
      <c r="B549" s="1">
        <v>45873</v>
      </c>
      <c r="C549" t="s">
        <v>13</v>
      </c>
      <c r="D549" t="s">
        <v>51</v>
      </c>
      <c r="E549" t="s">
        <v>66</v>
      </c>
      <c r="F549" t="s">
        <v>24</v>
      </c>
      <c r="G549">
        <v>45</v>
      </c>
      <c r="H549">
        <v>4191</v>
      </c>
      <c r="I549">
        <v>188595</v>
      </c>
      <c r="J549">
        <v>59</v>
      </c>
      <c r="K549">
        <v>2</v>
      </c>
      <c r="L549" t="s">
        <v>22</v>
      </c>
      <c r="M549" t="str">
        <f t="shared" si="16"/>
        <v>Available</v>
      </c>
      <c r="N549">
        <f t="shared" si="17"/>
        <v>37719</v>
      </c>
    </row>
    <row r="550" spans="1:14" x14ac:dyDescent="0.3">
      <c r="A550" t="s">
        <v>590</v>
      </c>
      <c r="B550" s="1">
        <v>45712</v>
      </c>
      <c r="C550" t="s">
        <v>19</v>
      </c>
      <c r="D550" t="s">
        <v>27</v>
      </c>
      <c r="E550" t="s">
        <v>64</v>
      </c>
      <c r="F550" t="s">
        <v>21</v>
      </c>
      <c r="G550">
        <v>36</v>
      </c>
      <c r="H550">
        <v>2325</v>
      </c>
      <c r="I550">
        <v>83700</v>
      </c>
      <c r="J550">
        <v>17</v>
      </c>
      <c r="K550">
        <v>8</v>
      </c>
      <c r="L550" t="s">
        <v>17</v>
      </c>
      <c r="M550" t="str">
        <f t="shared" si="16"/>
        <v>Reorder</v>
      </c>
      <c r="N550">
        <f t="shared" si="17"/>
        <v>16740</v>
      </c>
    </row>
    <row r="551" spans="1:14" x14ac:dyDescent="0.3">
      <c r="A551" t="s">
        <v>591</v>
      </c>
      <c r="B551" s="1">
        <v>45706</v>
      </c>
      <c r="C551" t="s">
        <v>38</v>
      </c>
      <c r="D551" t="s">
        <v>27</v>
      </c>
      <c r="E551" t="s">
        <v>64</v>
      </c>
      <c r="F551" t="s">
        <v>21</v>
      </c>
      <c r="G551">
        <v>45</v>
      </c>
      <c r="H551">
        <v>4444</v>
      </c>
      <c r="I551">
        <v>199980</v>
      </c>
      <c r="J551">
        <v>203</v>
      </c>
      <c r="K551">
        <v>8</v>
      </c>
      <c r="L551" t="s">
        <v>17</v>
      </c>
      <c r="M551" t="str">
        <f t="shared" si="16"/>
        <v>Available</v>
      </c>
      <c r="N551">
        <f t="shared" si="17"/>
        <v>39996</v>
      </c>
    </row>
    <row r="552" spans="1:14" x14ac:dyDescent="0.3">
      <c r="A552" t="s">
        <v>592</v>
      </c>
      <c r="B552" s="1">
        <v>45964</v>
      </c>
      <c r="C552" t="s">
        <v>13</v>
      </c>
      <c r="D552" t="s">
        <v>51</v>
      </c>
      <c r="E552" t="s">
        <v>66</v>
      </c>
      <c r="F552" t="s">
        <v>24</v>
      </c>
      <c r="G552">
        <v>6</v>
      </c>
      <c r="H552">
        <v>3458</v>
      </c>
      <c r="I552">
        <v>20748</v>
      </c>
      <c r="J552">
        <v>135</v>
      </c>
      <c r="K552">
        <v>4</v>
      </c>
      <c r="L552" t="s">
        <v>22</v>
      </c>
      <c r="M552" t="str">
        <f t="shared" si="16"/>
        <v>Available</v>
      </c>
      <c r="N552">
        <f t="shared" si="17"/>
        <v>4149.6000000000004</v>
      </c>
    </row>
    <row r="553" spans="1:14" x14ac:dyDescent="0.3">
      <c r="A553" t="s">
        <v>593</v>
      </c>
      <c r="B553" s="1">
        <v>45889</v>
      </c>
      <c r="C553" t="s">
        <v>19</v>
      </c>
      <c r="D553" t="s">
        <v>51</v>
      </c>
      <c r="E553" t="s">
        <v>56</v>
      </c>
      <c r="F553" t="s">
        <v>24</v>
      </c>
      <c r="G553">
        <v>21</v>
      </c>
      <c r="H553">
        <v>4504</v>
      </c>
      <c r="I553">
        <v>94584</v>
      </c>
      <c r="J553">
        <v>72</v>
      </c>
      <c r="K553">
        <v>9</v>
      </c>
      <c r="L553" t="s">
        <v>17</v>
      </c>
      <c r="M553" t="str">
        <f t="shared" si="16"/>
        <v>Available</v>
      </c>
      <c r="N553">
        <f t="shared" si="17"/>
        <v>18916.8</v>
      </c>
    </row>
    <row r="554" spans="1:14" x14ac:dyDescent="0.3">
      <c r="A554" t="s">
        <v>594</v>
      </c>
      <c r="B554" s="1">
        <v>45816</v>
      </c>
      <c r="C554" t="s">
        <v>38</v>
      </c>
      <c r="D554" t="s">
        <v>14</v>
      </c>
      <c r="E554" t="s">
        <v>42</v>
      </c>
      <c r="F554" t="s">
        <v>16</v>
      </c>
      <c r="G554">
        <v>24</v>
      </c>
      <c r="H554">
        <v>1890</v>
      </c>
      <c r="I554">
        <v>45360</v>
      </c>
      <c r="J554">
        <v>53</v>
      </c>
      <c r="K554">
        <v>10</v>
      </c>
      <c r="L554" t="s">
        <v>17</v>
      </c>
      <c r="M554" t="str">
        <f t="shared" si="16"/>
        <v>Available</v>
      </c>
      <c r="N554">
        <f t="shared" si="17"/>
        <v>9072</v>
      </c>
    </row>
    <row r="555" spans="1:14" x14ac:dyDescent="0.3">
      <c r="A555" t="s">
        <v>595</v>
      </c>
      <c r="B555" s="1">
        <v>45806</v>
      </c>
      <c r="C555" t="s">
        <v>19</v>
      </c>
      <c r="D555" t="s">
        <v>27</v>
      </c>
      <c r="E555" t="s">
        <v>28</v>
      </c>
      <c r="F555" t="s">
        <v>21</v>
      </c>
      <c r="G555">
        <v>43</v>
      </c>
      <c r="H555">
        <v>4707</v>
      </c>
      <c r="I555">
        <v>202401</v>
      </c>
      <c r="J555">
        <v>273</v>
      </c>
      <c r="K555">
        <v>9</v>
      </c>
      <c r="L555" t="s">
        <v>17</v>
      </c>
      <c r="M555" t="str">
        <f t="shared" si="16"/>
        <v>Available</v>
      </c>
      <c r="N555">
        <f t="shared" si="17"/>
        <v>40480.200000000004</v>
      </c>
    </row>
    <row r="556" spans="1:14" x14ac:dyDescent="0.3">
      <c r="A556" t="s">
        <v>596</v>
      </c>
      <c r="B556" s="1">
        <v>45810</v>
      </c>
      <c r="C556" t="s">
        <v>13</v>
      </c>
      <c r="D556" t="s">
        <v>31</v>
      </c>
      <c r="E556" t="s">
        <v>40</v>
      </c>
      <c r="F556" t="s">
        <v>21</v>
      </c>
      <c r="G556">
        <v>46</v>
      </c>
      <c r="H556">
        <v>595</v>
      </c>
      <c r="I556">
        <v>27370</v>
      </c>
      <c r="J556">
        <v>289</v>
      </c>
      <c r="K556">
        <v>6</v>
      </c>
      <c r="L556" t="s">
        <v>17</v>
      </c>
      <c r="M556" t="str">
        <f t="shared" si="16"/>
        <v>Available</v>
      </c>
      <c r="N556">
        <f t="shared" si="17"/>
        <v>5474</v>
      </c>
    </row>
    <row r="557" spans="1:14" x14ac:dyDescent="0.3">
      <c r="A557" t="s">
        <v>597</v>
      </c>
      <c r="B557" s="1">
        <v>45864</v>
      </c>
      <c r="C557" t="s">
        <v>26</v>
      </c>
      <c r="D557" t="s">
        <v>31</v>
      </c>
      <c r="E557" t="s">
        <v>40</v>
      </c>
      <c r="F557" t="s">
        <v>21</v>
      </c>
      <c r="G557">
        <v>44</v>
      </c>
      <c r="H557">
        <v>2327</v>
      </c>
      <c r="I557">
        <v>102388</v>
      </c>
      <c r="J557">
        <v>198</v>
      </c>
      <c r="K557">
        <v>10</v>
      </c>
      <c r="L557" t="s">
        <v>17</v>
      </c>
      <c r="M557" t="str">
        <f t="shared" si="16"/>
        <v>Available</v>
      </c>
      <c r="N557">
        <f t="shared" si="17"/>
        <v>20477.600000000002</v>
      </c>
    </row>
    <row r="558" spans="1:14" x14ac:dyDescent="0.3">
      <c r="A558" t="s">
        <v>598</v>
      </c>
      <c r="B558" s="1">
        <v>45719</v>
      </c>
      <c r="C558" t="s">
        <v>26</v>
      </c>
      <c r="D558" t="s">
        <v>31</v>
      </c>
      <c r="E558" t="s">
        <v>76</v>
      </c>
      <c r="F558" t="s">
        <v>16</v>
      </c>
      <c r="G558">
        <v>35</v>
      </c>
      <c r="H558">
        <v>3857</v>
      </c>
      <c r="I558">
        <v>134995</v>
      </c>
      <c r="J558">
        <v>272</v>
      </c>
      <c r="K558">
        <v>5</v>
      </c>
      <c r="L558" t="s">
        <v>22</v>
      </c>
      <c r="M558" t="str">
        <f t="shared" si="16"/>
        <v>Available</v>
      </c>
      <c r="N558">
        <f t="shared" si="17"/>
        <v>26999</v>
      </c>
    </row>
    <row r="559" spans="1:14" x14ac:dyDescent="0.3">
      <c r="A559" t="s">
        <v>599</v>
      </c>
      <c r="B559" s="1">
        <v>45933</v>
      </c>
      <c r="C559" t="s">
        <v>26</v>
      </c>
      <c r="D559" t="s">
        <v>51</v>
      </c>
      <c r="E559" t="s">
        <v>56</v>
      </c>
      <c r="F559" t="s">
        <v>16</v>
      </c>
      <c r="G559">
        <v>16</v>
      </c>
      <c r="H559">
        <v>2961</v>
      </c>
      <c r="I559">
        <v>47376</v>
      </c>
      <c r="J559">
        <v>255</v>
      </c>
      <c r="K559">
        <v>3</v>
      </c>
      <c r="L559" t="s">
        <v>22</v>
      </c>
      <c r="M559" t="str">
        <f t="shared" si="16"/>
        <v>Available</v>
      </c>
      <c r="N559">
        <f t="shared" si="17"/>
        <v>9475.2000000000007</v>
      </c>
    </row>
    <row r="560" spans="1:14" x14ac:dyDescent="0.3">
      <c r="A560" t="s">
        <v>600</v>
      </c>
      <c r="B560" s="1">
        <v>45685</v>
      </c>
      <c r="C560" t="s">
        <v>19</v>
      </c>
      <c r="D560" t="s">
        <v>51</v>
      </c>
      <c r="E560" t="s">
        <v>56</v>
      </c>
      <c r="F560" t="s">
        <v>29</v>
      </c>
      <c r="G560">
        <v>45</v>
      </c>
      <c r="H560">
        <v>2013</v>
      </c>
      <c r="I560">
        <v>90585</v>
      </c>
      <c r="J560">
        <v>96</v>
      </c>
      <c r="K560">
        <v>5</v>
      </c>
      <c r="L560" t="s">
        <v>22</v>
      </c>
      <c r="M560" t="str">
        <f t="shared" si="16"/>
        <v>Available</v>
      </c>
      <c r="N560">
        <f t="shared" si="17"/>
        <v>18117</v>
      </c>
    </row>
    <row r="561" spans="1:14" x14ac:dyDescent="0.3">
      <c r="A561" t="s">
        <v>601</v>
      </c>
      <c r="B561" s="1">
        <v>46013</v>
      </c>
      <c r="C561" t="s">
        <v>19</v>
      </c>
      <c r="D561" t="s">
        <v>51</v>
      </c>
      <c r="E561" t="s">
        <v>56</v>
      </c>
      <c r="F561" t="s">
        <v>16</v>
      </c>
      <c r="G561">
        <v>22</v>
      </c>
      <c r="H561">
        <v>906</v>
      </c>
      <c r="I561">
        <v>19932</v>
      </c>
      <c r="J561">
        <v>273</v>
      </c>
      <c r="K561">
        <v>6</v>
      </c>
      <c r="L561" t="s">
        <v>17</v>
      </c>
      <c r="M561" t="str">
        <f t="shared" si="16"/>
        <v>Available</v>
      </c>
      <c r="N561">
        <f t="shared" si="17"/>
        <v>3986.4</v>
      </c>
    </row>
    <row r="562" spans="1:14" x14ac:dyDescent="0.3">
      <c r="A562" t="s">
        <v>602</v>
      </c>
      <c r="B562" s="1">
        <v>45992</v>
      </c>
      <c r="C562" t="s">
        <v>26</v>
      </c>
      <c r="D562" t="s">
        <v>14</v>
      </c>
      <c r="E562" t="s">
        <v>15</v>
      </c>
      <c r="F562" t="s">
        <v>24</v>
      </c>
      <c r="G562">
        <v>15</v>
      </c>
      <c r="H562">
        <v>2031</v>
      </c>
      <c r="I562">
        <v>30465</v>
      </c>
      <c r="J562">
        <v>133</v>
      </c>
      <c r="K562">
        <v>3</v>
      </c>
      <c r="L562" t="s">
        <v>22</v>
      </c>
      <c r="M562" t="str">
        <f t="shared" si="16"/>
        <v>Available</v>
      </c>
      <c r="N562">
        <f t="shared" si="17"/>
        <v>6093</v>
      </c>
    </row>
    <row r="563" spans="1:14" x14ac:dyDescent="0.3">
      <c r="A563" t="s">
        <v>603</v>
      </c>
      <c r="B563" s="1">
        <v>45732</v>
      </c>
      <c r="C563" t="s">
        <v>13</v>
      </c>
      <c r="D563" t="s">
        <v>14</v>
      </c>
      <c r="E563" t="s">
        <v>15</v>
      </c>
      <c r="F563" t="s">
        <v>24</v>
      </c>
      <c r="G563">
        <v>47</v>
      </c>
      <c r="H563">
        <v>1351</v>
      </c>
      <c r="I563">
        <v>63497</v>
      </c>
      <c r="J563">
        <v>227</v>
      </c>
      <c r="K563">
        <v>7</v>
      </c>
      <c r="L563" t="s">
        <v>17</v>
      </c>
      <c r="M563" t="str">
        <f t="shared" si="16"/>
        <v>Available</v>
      </c>
      <c r="N563">
        <f t="shared" si="17"/>
        <v>12699.400000000001</v>
      </c>
    </row>
    <row r="564" spans="1:14" x14ac:dyDescent="0.3">
      <c r="A564" t="s">
        <v>604</v>
      </c>
      <c r="B564" s="1">
        <v>45940</v>
      </c>
      <c r="C564" t="s">
        <v>26</v>
      </c>
      <c r="D564" t="s">
        <v>51</v>
      </c>
      <c r="E564" t="s">
        <v>66</v>
      </c>
      <c r="F564" t="s">
        <v>16</v>
      </c>
      <c r="G564">
        <v>33</v>
      </c>
      <c r="H564">
        <v>1535</v>
      </c>
      <c r="I564">
        <v>50655</v>
      </c>
      <c r="J564">
        <v>271</v>
      </c>
      <c r="K564">
        <v>5</v>
      </c>
      <c r="L564" t="s">
        <v>22</v>
      </c>
      <c r="M564" t="str">
        <f t="shared" si="16"/>
        <v>Available</v>
      </c>
      <c r="N564">
        <f t="shared" si="17"/>
        <v>10131</v>
      </c>
    </row>
    <row r="565" spans="1:14" x14ac:dyDescent="0.3">
      <c r="A565" t="s">
        <v>605</v>
      </c>
      <c r="B565" s="1">
        <v>45674</v>
      </c>
      <c r="C565" t="s">
        <v>13</v>
      </c>
      <c r="D565" t="s">
        <v>27</v>
      </c>
      <c r="E565" t="s">
        <v>28</v>
      </c>
      <c r="F565" t="s">
        <v>16</v>
      </c>
      <c r="G565">
        <v>11</v>
      </c>
      <c r="H565">
        <v>1668</v>
      </c>
      <c r="I565">
        <v>18348</v>
      </c>
      <c r="J565">
        <v>179</v>
      </c>
      <c r="K565">
        <v>10</v>
      </c>
      <c r="L565" t="s">
        <v>17</v>
      </c>
      <c r="M565" t="str">
        <f t="shared" si="16"/>
        <v>Available</v>
      </c>
      <c r="N565">
        <f t="shared" si="17"/>
        <v>3669.6000000000004</v>
      </c>
    </row>
    <row r="566" spans="1:14" x14ac:dyDescent="0.3">
      <c r="A566" t="s">
        <v>606</v>
      </c>
      <c r="B566" s="1">
        <v>45659</v>
      </c>
      <c r="C566" t="s">
        <v>19</v>
      </c>
      <c r="D566" t="s">
        <v>31</v>
      </c>
      <c r="E566" t="s">
        <v>32</v>
      </c>
      <c r="F566" t="s">
        <v>16</v>
      </c>
      <c r="G566">
        <v>29</v>
      </c>
      <c r="H566">
        <v>2528</v>
      </c>
      <c r="I566">
        <v>73312</v>
      </c>
      <c r="J566">
        <v>287</v>
      </c>
      <c r="K566">
        <v>2</v>
      </c>
      <c r="L566" t="s">
        <v>22</v>
      </c>
      <c r="M566" t="str">
        <f t="shared" si="16"/>
        <v>Available</v>
      </c>
      <c r="N566">
        <f t="shared" si="17"/>
        <v>14662.400000000001</v>
      </c>
    </row>
    <row r="567" spans="1:14" x14ac:dyDescent="0.3">
      <c r="A567" t="s">
        <v>607</v>
      </c>
      <c r="B567" s="1">
        <v>45853</v>
      </c>
      <c r="C567" t="s">
        <v>13</v>
      </c>
      <c r="D567" t="s">
        <v>14</v>
      </c>
      <c r="E567" t="s">
        <v>42</v>
      </c>
      <c r="F567" t="s">
        <v>24</v>
      </c>
      <c r="G567">
        <v>16</v>
      </c>
      <c r="H567">
        <v>4526</v>
      </c>
      <c r="I567">
        <v>72416</v>
      </c>
      <c r="J567">
        <v>143</v>
      </c>
      <c r="K567">
        <v>3</v>
      </c>
      <c r="L567" t="s">
        <v>22</v>
      </c>
      <c r="M567" t="str">
        <f t="shared" si="16"/>
        <v>Available</v>
      </c>
      <c r="N567">
        <f t="shared" si="17"/>
        <v>14483.2</v>
      </c>
    </row>
    <row r="568" spans="1:14" x14ac:dyDescent="0.3">
      <c r="A568" t="s">
        <v>608</v>
      </c>
      <c r="B568" s="1">
        <v>45918</v>
      </c>
      <c r="C568" t="s">
        <v>19</v>
      </c>
      <c r="D568" t="s">
        <v>14</v>
      </c>
      <c r="E568" t="s">
        <v>15</v>
      </c>
      <c r="F568" t="s">
        <v>29</v>
      </c>
      <c r="G568">
        <v>25</v>
      </c>
      <c r="H568">
        <v>4594</v>
      </c>
      <c r="I568">
        <v>114850</v>
      </c>
      <c r="J568">
        <v>247</v>
      </c>
      <c r="K568">
        <v>4</v>
      </c>
      <c r="L568" t="s">
        <v>22</v>
      </c>
      <c r="M568" t="str">
        <f t="shared" si="16"/>
        <v>Available</v>
      </c>
      <c r="N568">
        <f t="shared" si="17"/>
        <v>22970</v>
      </c>
    </row>
    <row r="569" spans="1:14" x14ac:dyDescent="0.3">
      <c r="A569" t="s">
        <v>609</v>
      </c>
      <c r="B569" s="1">
        <v>46022</v>
      </c>
      <c r="C569" t="s">
        <v>19</v>
      </c>
      <c r="D569" t="s">
        <v>14</v>
      </c>
      <c r="E569" t="s">
        <v>15</v>
      </c>
      <c r="F569" t="s">
        <v>21</v>
      </c>
      <c r="G569">
        <v>50</v>
      </c>
      <c r="H569">
        <v>1097</v>
      </c>
      <c r="I569">
        <v>54850</v>
      </c>
      <c r="J569">
        <v>166</v>
      </c>
      <c r="K569">
        <v>8</v>
      </c>
      <c r="L569" t="s">
        <v>17</v>
      </c>
      <c r="M569" t="str">
        <f t="shared" si="16"/>
        <v>Available</v>
      </c>
      <c r="N569">
        <f t="shared" si="17"/>
        <v>10970</v>
      </c>
    </row>
    <row r="570" spans="1:14" x14ac:dyDescent="0.3">
      <c r="A570" t="s">
        <v>610</v>
      </c>
      <c r="B570" s="1">
        <v>45747</v>
      </c>
      <c r="C570" t="s">
        <v>13</v>
      </c>
      <c r="D570" t="s">
        <v>51</v>
      </c>
      <c r="E570" t="s">
        <v>90</v>
      </c>
      <c r="F570" t="s">
        <v>21</v>
      </c>
      <c r="G570">
        <v>21</v>
      </c>
      <c r="H570">
        <v>2410</v>
      </c>
      <c r="I570">
        <v>50610</v>
      </c>
      <c r="J570">
        <v>168</v>
      </c>
      <c r="K570">
        <v>5</v>
      </c>
      <c r="L570" t="s">
        <v>22</v>
      </c>
      <c r="M570" t="str">
        <f t="shared" si="16"/>
        <v>Available</v>
      </c>
      <c r="N570">
        <f t="shared" si="17"/>
        <v>10122</v>
      </c>
    </row>
    <row r="571" spans="1:14" x14ac:dyDescent="0.3">
      <c r="A571" t="s">
        <v>611</v>
      </c>
      <c r="B571" s="1">
        <v>45788</v>
      </c>
      <c r="C571" t="s">
        <v>38</v>
      </c>
      <c r="D571" t="s">
        <v>14</v>
      </c>
      <c r="E571" t="s">
        <v>42</v>
      </c>
      <c r="F571" t="s">
        <v>24</v>
      </c>
      <c r="G571">
        <v>40</v>
      </c>
      <c r="H571">
        <v>4018</v>
      </c>
      <c r="I571">
        <v>160720</v>
      </c>
      <c r="J571">
        <v>266</v>
      </c>
      <c r="K571">
        <v>4</v>
      </c>
      <c r="L571" t="s">
        <v>22</v>
      </c>
      <c r="M571" t="str">
        <f t="shared" si="16"/>
        <v>Available</v>
      </c>
      <c r="N571">
        <f t="shared" si="17"/>
        <v>32144</v>
      </c>
    </row>
    <row r="572" spans="1:14" x14ac:dyDescent="0.3">
      <c r="A572" t="s">
        <v>612</v>
      </c>
      <c r="B572" s="1">
        <v>45993</v>
      </c>
      <c r="C572" t="s">
        <v>26</v>
      </c>
      <c r="D572" t="s">
        <v>51</v>
      </c>
      <c r="E572" t="s">
        <v>90</v>
      </c>
      <c r="F572" t="s">
        <v>21</v>
      </c>
      <c r="G572">
        <v>18</v>
      </c>
      <c r="H572">
        <v>2227</v>
      </c>
      <c r="I572">
        <v>40086</v>
      </c>
      <c r="J572">
        <v>190</v>
      </c>
      <c r="K572">
        <v>3</v>
      </c>
      <c r="L572" t="s">
        <v>22</v>
      </c>
      <c r="M572" t="str">
        <f t="shared" si="16"/>
        <v>Available</v>
      </c>
      <c r="N572">
        <f t="shared" si="17"/>
        <v>8017.2000000000007</v>
      </c>
    </row>
    <row r="573" spans="1:14" x14ac:dyDescent="0.3">
      <c r="A573" t="s">
        <v>613</v>
      </c>
      <c r="B573" s="1">
        <v>45979</v>
      </c>
      <c r="C573" t="s">
        <v>19</v>
      </c>
      <c r="D573" t="s">
        <v>14</v>
      </c>
      <c r="E573" t="s">
        <v>42</v>
      </c>
      <c r="F573" t="s">
        <v>29</v>
      </c>
      <c r="G573">
        <v>25</v>
      </c>
      <c r="H573">
        <v>3064</v>
      </c>
      <c r="I573">
        <v>76600</v>
      </c>
      <c r="J573">
        <v>16</v>
      </c>
      <c r="K573">
        <v>10</v>
      </c>
      <c r="L573" t="s">
        <v>17</v>
      </c>
      <c r="M573" t="str">
        <f t="shared" si="16"/>
        <v>Reorder</v>
      </c>
      <c r="N573">
        <f t="shared" si="17"/>
        <v>15320</v>
      </c>
    </row>
    <row r="574" spans="1:14" x14ac:dyDescent="0.3">
      <c r="A574" t="s">
        <v>614</v>
      </c>
      <c r="B574" s="1">
        <v>45930</v>
      </c>
      <c r="C574" t="s">
        <v>19</v>
      </c>
      <c r="D574" t="s">
        <v>51</v>
      </c>
      <c r="E574" t="s">
        <v>90</v>
      </c>
      <c r="F574" t="s">
        <v>16</v>
      </c>
      <c r="G574">
        <v>26</v>
      </c>
      <c r="H574">
        <v>4477</v>
      </c>
      <c r="I574">
        <v>116402</v>
      </c>
      <c r="J574">
        <v>100</v>
      </c>
      <c r="K574">
        <v>5</v>
      </c>
      <c r="L574" t="s">
        <v>22</v>
      </c>
      <c r="M574" t="str">
        <f t="shared" si="16"/>
        <v>Available</v>
      </c>
      <c r="N574">
        <f t="shared" si="17"/>
        <v>23280.400000000001</v>
      </c>
    </row>
    <row r="575" spans="1:14" x14ac:dyDescent="0.3">
      <c r="A575" t="s">
        <v>615</v>
      </c>
      <c r="B575" s="1">
        <v>45755</v>
      </c>
      <c r="C575" t="s">
        <v>38</v>
      </c>
      <c r="D575" t="s">
        <v>14</v>
      </c>
      <c r="E575" t="s">
        <v>15</v>
      </c>
      <c r="F575" t="s">
        <v>29</v>
      </c>
      <c r="G575">
        <v>20</v>
      </c>
      <c r="H575">
        <v>4063</v>
      </c>
      <c r="I575">
        <v>81260</v>
      </c>
      <c r="J575">
        <v>190</v>
      </c>
      <c r="K575">
        <v>5</v>
      </c>
      <c r="L575" t="s">
        <v>22</v>
      </c>
      <c r="M575" t="str">
        <f t="shared" si="16"/>
        <v>Available</v>
      </c>
      <c r="N575">
        <f t="shared" si="17"/>
        <v>16252</v>
      </c>
    </row>
    <row r="576" spans="1:14" x14ac:dyDescent="0.3">
      <c r="A576" t="s">
        <v>616</v>
      </c>
      <c r="B576" s="1">
        <v>45846</v>
      </c>
      <c r="C576" t="s">
        <v>13</v>
      </c>
      <c r="D576" t="s">
        <v>31</v>
      </c>
      <c r="E576" t="s">
        <v>76</v>
      </c>
      <c r="F576" t="s">
        <v>24</v>
      </c>
      <c r="G576">
        <v>32</v>
      </c>
      <c r="H576">
        <v>964</v>
      </c>
      <c r="I576">
        <v>30848</v>
      </c>
      <c r="J576">
        <v>108</v>
      </c>
      <c r="K576">
        <v>9</v>
      </c>
      <c r="L576" t="s">
        <v>17</v>
      </c>
      <c r="M576" t="str">
        <f t="shared" si="16"/>
        <v>Available</v>
      </c>
      <c r="N576">
        <f t="shared" si="17"/>
        <v>6169.6</v>
      </c>
    </row>
    <row r="577" spans="1:14" x14ac:dyDescent="0.3">
      <c r="A577" t="s">
        <v>617</v>
      </c>
      <c r="B577" s="1">
        <v>45742</v>
      </c>
      <c r="C577" t="s">
        <v>13</v>
      </c>
      <c r="D577" t="s">
        <v>14</v>
      </c>
      <c r="E577" t="s">
        <v>58</v>
      </c>
      <c r="F577" t="s">
        <v>21</v>
      </c>
      <c r="G577">
        <v>21</v>
      </c>
      <c r="H577">
        <v>3370</v>
      </c>
      <c r="I577">
        <v>70770</v>
      </c>
      <c r="J577">
        <v>184</v>
      </c>
      <c r="K577">
        <v>6</v>
      </c>
      <c r="L577" t="s">
        <v>17</v>
      </c>
      <c r="M577" t="str">
        <f t="shared" si="16"/>
        <v>Available</v>
      </c>
      <c r="N577">
        <f t="shared" si="17"/>
        <v>14154</v>
      </c>
    </row>
    <row r="578" spans="1:14" x14ac:dyDescent="0.3">
      <c r="A578" t="s">
        <v>618</v>
      </c>
      <c r="B578" s="1">
        <v>45885</v>
      </c>
      <c r="C578" t="s">
        <v>19</v>
      </c>
      <c r="D578" t="s">
        <v>31</v>
      </c>
      <c r="E578" t="s">
        <v>45</v>
      </c>
      <c r="F578" t="s">
        <v>16</v>
      </c>
      <c r="G578">
        <v>34</v>
      </c>
      <c r="H578">
        <v>1284</v>
      </c>
      <c r="I578">
        <v>43656</v>
      </c>
      <c r="J578">
        <v>186</v>
      </c>
      <c r="K578">
        <v>3</v>
      </c>
      <c r="L578" t="s">
        <v>22</v>
      </c>
      <c r="M578" t="str">
        <f t="shared" si="16"/>
        <v>Available</v>
      </c>
      <c r="N578">
        <f t="shared" si="17"/>
        <v>8731.2000000000007</v>
      </c>
    </row>
    <row r="579" spans="1:14" x14ac:dyDescent="0.3">
      <c r="A579" t="s">
        <v>619</v>
      </c>
      <c r="B579" s="1">
        <v>45883</v>
      </c>
      <c r="C579" t="s">
        <v>13</v>
      </c>
      <c r="D579" t="s">
        <v>31</v>
      </c>
      <c r="E579" t="s">
        <v>45</v>
      </c>
      <c r="F579" t="s">
        <v>16</v>
      </c>
      <c r="G579">
        <v>17</v>
      </c>
      <c r="H579">
        <v>4894</v>
      </c>
      <c r="I579">
        <v>83198</v>
      </c>
      <c r="J579">
        <v>126</v>
      </c>
      <c r="K579">
        <v>3</v>
      </c>
      <c r="L579" t="s">
        <v>22</v>
      </c>
      <c r="M579" t="str">
        <f t="shared" ref="M579:M642" si="18">IF(J579&lt;50,"Reorder","Available")</f>
        <v>Available</v>
      </c>
      <c r="N579">
        <f t="shared" ref="N579:N642" si="19">I579*20%</f>
        <v>16639.600000000002</v>
      </c>
    </row>
    <row r="580" spans="1:14" x14ac:dyDescent="0.3">
      <c r="A580" t="s">
        <v>620</v>
      </c>
      <c r="B580" s="1">
        <v>45842</v>
      </c>
      <c r="C580" t="s">
        <v>19</v>
      </c>
      <c r="D580" t="s">
        <v>14</v>
      </c>
      <c r="E580" t="s">
        <v>58</v>
      </c>
      <c r="F580" t="s">
        <v>21</v>
      </c>
      <c r="G580">
        <v>13</v>
      </c>
      <c r="H580">
        <v>1284</v>
      </c>
      <c r="I580">
        <v>16692</v>
      </c>
      <c r="J580">
        <v>279</v>
      </c>
      <c r="K580">
        <v>9</v>
      </c>
      <c r="L580" t="s">
        <v>17</v>
      </c>
      <c r="M580" t="str">
        <f t="shared" si="18"/>
        <v>Available</v>
      </c>
      <c r="N580">
        <f t="shared" si="19"/>
        <v>3338.4</v>
      </c>
    </row>
    <row r="581" spans="1:14" x14ac:dyDescent="0.3">
      <c r="A581" t="s">
        <v>621</v>
      </c>
      <c r="B581" s="1">
        <v>45708</v>
      </c>
      <c r="C581" t="s">
        <v>26</v>
      </c>
      <c r="D581" t="s">
        <v>14</v>
      </c>
      <c r="E581" t="s">
        <v>42</v>
      </c>
      <c r="F581" t="s">
        <v>29</v>
      </c>
      <c r="G581">
        <v>17</v>
      </c>
      <c r="H581">
        <v>3475</v>
      </c>
      <c r="I581">
        <v>59075</v>
      </c>
      <c r="J581">
        <v>91</v>
      </c>
      <c r="K581">
        <v>4</v>
      </c>
      <c r="L581" t="s">
        <v>22</v>
      </c>
      <c r="M581" t="str">
        <f t="shared" si="18"/>
        <v>Available</v>
      </c>
      <c r="N581">
        <f t="shared" si="19"/>
        <v>11815</v>
      </c>
    </row>
    <row r="582" spans="1:14" x14ac:dyDescent="0.3">
      <c r="A582" t="s">
        <v>622</v>
      </c>
      <c r="B582" s="1">
        <v>46001</v>
      </c>
      <c r="C582" t="s">
        <v>26</v>
      </c>
      <c r="D582" t="s">
        <v>51</v>
      </c>
      <c r="E582" t="s">
        <v>56</v>
      </c>
      <c r="F582" t="s">
        <v>29</v>
      </c>
      <c r="G582">
        <v>43</v>
      </c>
      <c r="H582">
        <v>2370</v>
      </c>
      <c r="I582">
        <v>101910</v>
      </c>
      <c r="J582">
        <v>200</v>
      </c>
      <c r="K582">
        <v>6</v>
      </c>
      <c r="L582" t="s">
        <v>17</v>
      </c>
      <c r="M582" t="str">
        <f t="shared" si="18"/>
        <v>Available</v>
      </c>
      <c r="N582">
        <f t="shared" si="19"/>
        <v>20382</v>
      </c>
    </row>
    <row r="583" spans="1:14" x14ac:dyDescent="0.3">
      <c r="A583" t="s">
        <v>623</v>
      </c>
      <c r="B583" s="1">
        <v>45903</v>
      </c>
      <c r="C583" t="s">
        <v>26</v>
      </c>
      <c r="D583" t="s">
        <v>27</v>
      </c>
      <c r="E583" t="s">
        <v>83</v>
      </c>
      <c r="F583" t="s">
        <v>24</v>
      </c>
      <c r="G583">
        <v>44</v>
      </c>
      <c r="H583">
        <v>723</v>
      </c>
      <c r="I583">
        <v>31812</v>
      </c>
      <c r="J583">
        <v>25</v>
      </c>
      <c r="K583">
        <v>4</v>
      </c>
      <c r="L583" t="s">
        <v>22</v>
      </c>
      <c r="M583" t="str">
        <f t="shared" si="18"/>
        <v>Reorder</v>
      </c>
      <c r="N583">
        <f t="shared" si="19"/>
        <v>6362.4000000000005</v>
      </c>
    </row>
    <row r="584" spans="1:14" x14ac:dyDescent="0.3">
      <c r="A584" t="s">
        <v>624</v>
      </c>
      <c r="B584" s="1">
        <v>45820</v>
      </c>
      <c r="C584" t="s">
        <v>19</v>
      </c>
      <c r="D584" t="s">
        <v>31</v>
      </c>
      <c r="E584" t="s">
        <v>40</v>
      </c>
      <c r="F584" t="s">
        <v>29</v>
      </c>
      <c r="G584">
        <v>23</v>
      </c>
      <c r="H584">
        <v>4545</v>
      </c>
      <c r="I584">
        <v>104535</v>
      </c>
      <c r="J584">
        <v>221</v>
      </c>
      <c r="K584">
        <v>6</v>
      </c>
      <c r="L584" t="s">
        <v>17</v>
      </c>
      <c r="M584" t="str">
        <f t="shared" si="18"/>
        <v>Available</v>
      </c>
      <c r="N584">
        <f t="shared" si="19"/>
        <v>20907</v>
      </c>
    </row>
    <row r="585" spans="1:14" x14ac:dyDescent="0.3">
      <c r="A585" t="s">
        <v>625</v>
      </c>
      <c r="B585" s="1">
        <v>45802</v>
      </c>
      <c r="C585" t="s">
        <v>19</v>
      </c>
      <c r="D585" t="s">
        <v>14</v>
      </c>
      <c r="E585" t="s">
        <v>20</v>
      </c>
      <c r="F585" t="s">
        <v>21</v>
      </c>
      <c r="G585">
        <v>49</v>
      </c>
      <c r="H585">
        <v>4388</v>
      </c>
      <c r="I585">
        <v>215012</v>
      </c>
      <c r="J585">
        <v>272</v>
      </c>
      <c r="K585">
        <v>9</v>
      </c>
      <c r="L585" t="s">
        <v>17</v>
      </c>
      <c r="M585" t="str">
        <f t="shared" si="18"/>
        <v>Available</v>
      </c>
      <c r="N585">
        <f t="shared" si="19"/>
        <v>43002.400000000001</v>
      </c>
    </row>
    <row r="586" spans="1:14" x14ac:dyDescent="0.3">
      <c r="A586" t="s">
        <v>626</v>
      </c>
      <c r="B586" s="1">
        <v>45658</v>
      </c>
      <c r="C586" t="s">
        <v>19</v>
      </c>
      <c r="D586" t="s">
        <v>51</v>
      </c>
      <c r="E586" t="s">
        <v>56</v>
      </c>
      <c r="F586" t="s">
        <v>21</v>
      </c>
      <c r="G586">
        <v>26</v>
      </c>
      <c r="H586">
        <v>4423</v>
      </c>
      <c r="I586">
        <v>114998</v>
      </c>
      <c r="J586">
        <v>49</v>
      </c>
      <c r="K586">
        <v>4</v>
      </c>
      <c r="L586" t="s">
        <v>22</v>
      </c>
      <c r="M586" t="str">
        <f t="shared" si="18"/>
        <v>Reorder</v>
      </c>
      <c r="N586">
        <f t="shared" si="19"/>
        <v>22999.600000000002</v>
      </c>
    </row>
    <row r="587" spans="1:14" x14ac:dyDescent="0.3">
      <c r="A587" t="s">
        <v>627</v>
      </c>
      <c r="B587" s="1">
        <v>45764</v>
      </c>
      <c r="C587" t="s">
        <v>26</v>
      </c>
      <c r="D587" t="s">
        <v>27</v>
      </c>
      <c r="E587" t="s">
        <v>64</v>
      </c>
      <c r="F587" t="s">
        <v>16</v>
      </c>
      <c r="G587">
        <v>24</v>
      </c>
      <c r="H587">
        <v>581</v>
      </c>
      <c r="I587">
        <v>13944</v>
      </c>
      <c r="J587">
        <v>188</v>
      </c>
      <c r="K587">
        <v>4</v>
      </c>
      <c r="L587" t="s">
        <v>22</v>
      </c>
      <c r="M587" t="str">
        <f t="shared" si="18"/>
        <v>Available</v>
      </c>
      <c r="N587">
        <f t="shared" si="19"/>
        <v>2788.8</v>
      </c>
    </row>
    <row r="588" spans="1:14" x14ac:dyDescent="0.3">
      <c r="A588" t="s">
        <v>628</v>
      </c>
      <c r="B588" s="1">
        <v>45753</v>
      </c>
      <c r="C588" t="s">
        <v>26</v>
      </c>
      <c r="D588" t="s">
        <v>31</v>
      </c>
      <c r="E588" t="s">
        <v>32</v>
      </c>
      <c r="F588" t="s">
        <v>16</v>
      </c>
      <c r="G588">
        <v>22</v>
      </c>
      <c r="H588">
        <v>1306</v>
      </c>
      <c r="I588">
        <v>28732</v>
      </c>
      <c r="J588">
        <v>218</v>
      </c>
      <c r="K588">
        <v>10</v>
      </c>
      <c r="L588" t="s">
        <v>17</v>
      </c>
      <c r="M588" t="str">
        <f t="shared" si="18"/>
        <v>Available</v>
      </c>
      <c r="N588">
        <f t="shared" si="19"/>
        <v>5746.4000000000005</v>
      </c>
    </row>
    <row r="589" spans="1:14" x14ac:dyDescent="0.3">
      <c r="A589" t="s">
        <v>629</v>
      </c>
      <c r="B589" s="1">
        <v>45894</v>
      </c>
      <c r="C589" t="s">
        <v>19</v>
      </c>
      <c r="D589" t="s">
        <v>27</v>
      </c>
      <c r="E589" t="s">
        <v>83</v>
      </c>
      <c r="F589" t="s">
        <v>21</v>
      </c>
      <c r="G589">
        <v>28</v>
      </c>
      <c r="H589">
        <v>4830</v>
      </c>
      <c r="I589">
        <v>135240</v>
      </c>
      <c r="J589">
        <v>222</v>
      </c>
      <c r="K589">
        <v>3</v>
      </c>
      <c r="L589" t="s">
        <v>22</v>
      </c>
      <c r="M589" t="str">
        <f t="shared" si="18"/>
        <v>Available</v>
      </c>
      <c r="N589">
        <f t="shared" si="19"/>
        <v>27048</v>
      </c>
    </row>
    <row r="590" spans="1:14" x14ac:dyDescent="0.3">
      <c r="A590" t="s">
        <v>630</v>
      </c>
      <c r="B590" s="1">
        <v>45930</v>
      </c>
      <c r="C590" t="s">
        <v>19</v>
      </c>
      <c r="D590" t="s">
        <v>27</v>
      </c>
      <c r="E590" t="s">
        <v>28</v>
      </c>
      <c r="F590" t="s">
        <v>21</v>
      </c>
      <c r="G590">
        <v>3</v>
      </c>
      <c r="H590">
        <v>596</v>
      </c>
      <c r="I590">
        <v>1788</v>
      </c>
      <c r="J590">
        <v>137</v>
      </c>
      <c r="K590">
        <v>7</v>
      </c>
      <c r="L590" t="s">
        <v>17</v>
      </c>
      <c r="M590" t="str">
        <f t="shared" si="18"/>
        <v>Available</v>
      </c>
      <c r="N590">
        <f t="shared" si="19"/>
        <v>357.6</v>
      </c>
    </row>
    <row r="591" spans="1:14" x14ac:dyDescent="0.3">
      <c r="A591" t="s">
        <v>631</v>
      </c>
      <c r="B591" s="1">
        <v>45732</v>
      </c>
      <c r="C591" t="s">
        <v>26</v>
      </c>
      <c r="D591" t="s">
        <v>31</v>
      </c>
      <c r="E591" t="s">
        <v>40</v>
      </c>
      <c r="F591" t="s">
        <v>29</v>
      </c>
      <c r="G591">
        <v>1</v>
      </c>
      <c r="H591">
        <v>1957</v>
      </c>
      <c r="I591">
        <v>1957</v>
      </c>
      <c r="J591">
        <v>172</v>
      </c>
      <c r="K591">
        <v>6</v>
      </c>
      <c r="L591" t="s">
        <v>17</v>
      </c>
      <c r="M591" t="str">
        <f t="shared" si="18"/>
        <v>Available</v>
      </c>
      <c r="N591">
        <f t="shared" si="19"/>
        <v>391.40000000000003</v>
      </c>
    </row>
    <row r="592" spans="1:14" x14ac:dyDescent="0.3">
      <c r="A592" t="s">
        <v>632</v>
      </c>
      <c r="B592" s="1">
        <v>45736</v>
      </c>
      <c r="C592" t="s">
        <v>38</v>
      </c>
      <c r="D592" t="s">
        <v>27</v>
      </c>
      <c r="E592" t="s">
        <v>83</v>
      </c>
      <c r="F592" t="s">
        <v>21</v>
      </c>
      <c r="G592">
        <v>25</v>
      </c>
      <c r="H592">
        <v>2166</v>
      </c>
      <c r="I592">
        <v>54150</v>
      </c>
      <c r="J592">
        <v>92</v>
      </c>
      <c r="K592">
        <v>8</v>
      </c>
      <c r="L592" t="s">
        <v>17</v>
      </c>
      <c r="M592" t="str">
        <f t="shared" si="18"/>
        <v>Available</v>
      </c>
      <c r="N592">
        <f t="shared" si="19"/>
        <v>10830</v>
      </c>
    </row>
    <row r="593" spans="1:14" x14ac:dyDescent="0.3">
      <c r="A593" t="s">
        <v>633</v>
      </c>
      <c r="B593" s="1">
        <v>45941</v>
      </c>
      <c r="C593" t="s">
        <v>38</v>
      </c>
      <c r="D593" t="s">
        <v>31</v>
      </c>
      <c r="E593" t="s">
        <v>32</v>
      </c>
      <c r="F593" t="s">
        <v>21</v>
      </c>
      <c r="G593">
        <v>30</v>
      </c>
      <c r="H593">
        <v>2888</v>
      </c>
      <c r="I593">
        <v>86640</v>
      </c>
      <c r="J593">
        <v>124</v>
      </c>
      <c r="K593">
        <v>10</v>
      </c>
      <c r="L593" t="s">
        <v>17</v>
      </c>
      <c r="M593" t="str">
        <f t="shared" si="18"/>
        <v>Available</v>
      </c>
      <c r="N593">
        <f t="shared" si="19"/>
        <v>17328</v>
      </c>
    </row>
    <row r="594" spans="1:14" x14ac:dyDescent="0.3">
      <c r="A594" t="s">
        <v>634</v>
      </c>
      <c r="B594" s="1">
        <v>45773</v>
      </c>
      <c r="C594" t="s">
        <v>19</v>
      </c>
      <c r="D594" t="s">
        <v>31</v>
      </c>
      <c r="E594" t="s">
        <v>76</v>
      </c>
      <c r="F594" t="s">
        <v>24</v>
      </c>
      <c r="G594">
        <v>34</v>
      </c>
      <c r="H594">
        <v>817</v>
      </c>
      <c r="I594">
        <v>27778</v>
      </c>
      <c r="J594">
        <v>80</v>
      </c>
      <c r="K594">
        <v>7</v>
      </c>
      <c r="L594" t="s">
        <v>17</v>
      </c>
      <c r="M594" t="str">
        <f t="shared" si="18"/>
        <v>Available</v>
      </c>
      <c r="N594">
        <f t="shared" si="19"/>
        <v>5555.6</v>
      </c>
    </row>
    <row r="595" spans="1:14" x14ac:dyDescent="0.3">
      <c r="A595" t="s">
        <v>635</v>
      </c>
      <c r="B595" s="1">
        <v>45869</v>
      </c>
      <c r="C595" t="s">
        <v>13</v>
      </c>
      <c r="D595" t="s">
        <v>14</v>
      </c>
      <c r="E595" t="s">
        <v>58</v>
      </c>
      <c r="F595" t="s">
        <v>21</v>
      </c>
      <c r="G595">
        <v>8</v>
      </c>
      <c r="H595">
        <v>2724</v>
      </c>
      <c r="I595">
        <v>21792</v>
      </c>
      <c r="J595">
        <v>123</v>
      </c>
      <c r="K595">
        <v>7</v>
      </c>
      <c r="L595" t="s">
        <v>17</v>
      </c>
      <c r="M595" t="str">
        <f t="shared" si="18"/>
        <v>Available</v>
      </c>
      <c r="N595">
        <f t="shared" si="19"/>
        <v>4358.4000000000005</v>
      </c>
    </row>
    <row r="596" spans="1:14" x14ac:dyDescent="0.3">
      <c r="A596" t="s">
        <v>636</v>
      </c>
      <c r="B596" s="1">
        <v>45930</v>
      </c>
      <c r="C596" t="s">
        <v>13</v>
      </c>
      <c r="D596" t="s">
        <v>14</v>
      </c>
      <c r="E596" t="s">
        <v>58</v>
      </c>
      <c r="F596" t="s">
        <v>21</v>
      </c>
      <c r="G596">
        <v>40</v>
      </c>
      <c r="H596">
        <v>521</v>
      </c>
      <c r="I596">
        <v>20840</v>
      </c>
      <c r="J596">
        <v>175</v>
      </c>
      <c r="K596">
        <v>7</v>
      </c>
      <c r="L596" t="s">
        <v>17</v>
      </c>
      <c r="M596" t="str">
        <f t="shared" si="18"/>
        <v>Available</v>
      </c>
      <c r="N596">
        <f t="shared" si="19"/>
        <v>4168</v>
      </c>
    </row>
    <row r="597" spans="1:14" x14ac:dyDescent="0.3">
      <c r="A597" t="s">
        <v>637</v>
      </c>
      <c r="B597" s="1">
        <v>45958</v>
      </c>
      <c r="C597" t="s">
        <v>38</v>
      </c>
      <c r="D597" t="s">
        <v>27</v>
      </c>
      <c r="E597" t="s">
        <v>34</v>
      </c>
      <c r="F597" t="s">
        <v>24</v>
      </c>
      <c r="G597">
        <v>38</v>
      </c>
      <c r="H597">
        <v>531</v>
      </c>
      <c r="I597">
        <v>20178</v>
      </c>
      <c r="J597">
        <v>61</v>
      </c>
      <c r="K597">
        <v>9</v>
      </c>
      <c r="L597" t="s">
        <v>17</v>
      </c>
      <c r="M597" t="str">
        <f t="shared" si="18"/>
        <v>Available</v>
      </c>
      <c r="N597">
        <f t="shared" si="19"/>
        <v>4035.6000000000004</v>
      </c>
    </row>
    <row r="598" spans="1:14" x14ac:dyDescent="0.3">
      <c r="A598" t="s">
        <v>638</v>
      </c>
      <c r="B598" s="1">
        <v>45952</v>
      </c>
      <c r="C598" t="s">
        <v>38</v>
      </c>
      <c r="D598" t="s">
        <v>27</v>
      </c>
      <c r="E598" t="s">
        <v>64</v>
      </c>
      <c r="F598" t="s">
        <v>21</v>
      </c>
      <c r="G598">
        <v>27</v>
      </c>
      <c r="H598">
        <v>4038</v>
      </c>
      <c r="I598">
        <v>109026</v>
      </c>
      <c r="J598">
        <v>209</v>
      </c>
      <c r="K598">
        <v>3</v>
      </c>
      <c r="L598" t="s">
        <v>22</v>
      </c>
      <c r="M598" t="str">
        <f t="shared" si="18"/>
        <v>Available</v>
      </c>
      <c r="N598">
        <f t="shared" si="19"/>
        <v>21805.200000000001</v>
      </c>
    </row>
    <row r="599" spans="1:14" x14ac:dyDescent="0.3">
      <c r="A599" t="s">
        <v>639</v>
      </c>
      <c r="B599" s="1">
        <v>45794</v>
      </c>
      <c r="C599" t="s">
        <v>38</v>
      </c>
      <c r="D599" t="s">
        <v>14</v>
      </c>
      <c r="E599" t="s">
        <v>42</v>
      </c>
      <c r="F599" t="s">
        <v>29</v>
      </c>
      <c r="G599">
        <v>41</v>
      </c>
      <c r="H599">
        <v>3821</v>
      </c>
      <c r="I599">
        <v>156661</v>
      </c>
      <c r="J599">
        <v>58</v>
      </c>
      <c r="K599">
        <v>4</v>
      </c>
      <c r="L599" t="s">
        <v>22</v>
      </c>
      <c r="M599" t="str">
        <f t="shared" si="18"/>
        <v>Available</v>
      </c>
      <c r="N599">
        <f t="shared" si="19"/>
        <v>31332.2</v>
      </c>
    </row>
    <row r="600" spans="1:14" x14ac:dyDescent="0.3">
      <c r="A600" t="s">
        <v>640</v>
      </c>
      <c r="B600" s="1">
        <v>45953</v>
      </c>
      <c r="C600" t="s">
        <v>19</v>
      </c>
      <c r="D600" t="s">
        <v>14</v>
      </c>
      <c r="E600" t="s">
        <v>15</v>
      </c>
      <c r="F600" t="s">
        <v>16</v>
      </c>
      <c r="G600">
        <v>11</v>
      </c>
      <c r="H600">
        <v>1762</v>
      </c>
      <c r="I600">
        <v>19382</v>
      </c>
      <c r="J600">
        <v>174</v>
      </c>
      <c r="K600">
        <v>8</v>
      </c>
      <c r="L600" t="s">
        <v>17</v>
      </c>
      <c r="M600" t="str">
        <f t="shared" si="18"/>
        <v>Available</v>
      </c>
      <c r="N600">
        <f t="shared" si="19"/>
        <v>3876.4</v>
      </c>
    </row>
    <row r="601" spans="1:14" x14ac:dyDescent="0.3">
      <c r="A601" t="s">
        <v>641</v>
      </c>
      <c r="B601" s="1">
        <v>45980</v>
      </c>
      <c r="C601" t="s">
        <v>38</v>
      </c>
      <c r="D601" t="s">
        <v>14</v>
      </c>
      <c r="E601" t="s">
        <v>15</v>
      </c>
      <c r="F601" t="s">
        <v>29</v>
      </c>
      <c r="G601">
        <v>22</v>
      </c>
      <c r="H601">
        <v>1083</v>
      </c>
      <c r="I601">
        <v>23826</v>
      </c>
      <c r="J601">
        <v>12</v>
      </c>
      <c r="K601">
        <v>3</v>
      </c>
      <c r="L601" t="s">
        <v>22</v>
      </c>
      <c r="M601" t="str">
        <f t="shared" si="18"/>
        <v>Reorder</v>
      </c>
      <c r="N601">
        <f t="shared" si="19"/>
        <v>4765.2</v>
      </c>
    </row>
    <row r="602" spans="1:14" x14ac:dyDescent="0.3">
      <c r="A602" t="s">
        <v>642</v>
      </c>
      <c r="B602" s="1">
        <v>45868</v>
      </c>
      <c r="C602" t="s">
        <v>38</v>
      </c>
      <c r="D602" t="s">
        <v>14</v>
      </c>
      <c r="E602" t="s">
        <v>15</v>
      </c>
      <c r="F602" t="s">
        <v>29</v>
      </c>
      <c r="G602">
        <v>14</v>
      </c>
      <c r="H602">
        <v>4864</v>
      </c>
      <c r="I602">
        <v>68096</v>
      </c>
      <c r="J602">
        <v>196</v>
      </c>
      <c r="K602">
        <v>5</v>
      </c>
      <c r="L602" t="s">
        <v>22</v>
      </c>
      <c r="M602" t="str">
        <f t="shared" si="18"/>
        <v>Available</v>
      </c>
      <c r="N602">
        <f t="shared" si="19"/>
        <v>13619.2</v>
      </c>
    </row>
    <row r="603" spans="1:14" x14ac:dyDescent="0.3">
      <c r="A603" t="s">
        <v>643</v>
      </c>
      <c r="B603" s="1">
        <v>45966</v>
      </c>
      <c r="C603" t="s">
        <v>13</v>
      </c>
      <c r="D603" t="s">
        <v>51</v>
      </c>
      <c r="E603" t="s">
        <v>90</v>
      </c>
      <c r="F603" t="s">
        <v>24</v>
      </c>
      <c r="G603">
        <v>23</v>
      </c>
      <c r="H603">
        <v>3045</v>
      </c>
      <c r="I603">
        <v>70035</v>
      </c>
      <c r="J603">
        <v>296</v>
      </c>
      <c r="K603">
        <v>6</v>
      </c>
      <c r="L603" t="s">
        <v>17</v>
      </c>
      <c r="M603" t="str">
        <f t="shared" si="18"/>
        <v>Available</v>
      </c>
      <c r="N603">
        <f t="shared" si="19"/>
        <v>14007</v>
      </c>
    </row>
    <row r="604" spans="1:14" x14ac:dyDescent="0.3">
      <c r="A604" t="s">
        <v>644</v>
      </c>
      <c r="B604" s="1">
        <v>45928</v>
      </c>
      <c r="C604" t="s">
        <v>13</v>
      </c>
      <c r="D604" t="s">
        <v>27</v>
      </c>
      <c r="E604" t="s">
        <v>64</v>
      </c>
      <c r="F604" t="s">
        <v>29</v>
      </c>
      <c r="G604">
        <v>7</v>
      </c>
      <c r="H604">
        <v>4078</v>
      </c>
      <c r="I604">
        <v>28546</v>
      </c>
      <c r="J604">
        <v>34</v>
      </c>
      <c r="K604">
        <v>5</v>
      </c>
      <c r="L604" t="s">
        <v>22</v>
      </c>
      <c r="M604" t="str">
        <f t="shared" si="18"/>
        <v>Reorder</v>
      </c>
      <c r="N604">
        <f t="shared" si="19"/>
        <v>5709.2000000000007</v>
      </c>
    </row>
    <row r="605" spans="1:14" x14ac:dyDescent="0.3">
      <c r="A605" t="s">
        <v>645</v>
      </c>
      <c r="B605" s="1">
        <v>45765</v>
      </c>
      <c r="C605" t="s">
        <v>26</v>
      </c>
      <c r="D605" t="s">
        <v>14</v>
      </c>
      <c r="E605" t="s">
        <v>58</v>
      </c>
      <c r="F605" t="s">
        <v>29</v>
      </c>
      <c r="G605">
        <v>17</v>
      </c>
      <c r="H605">
        <v>4321</v>
      </c>
      <c r="I605">
        <v>73457</v>
      </c>
      <c r="J605">
        <v>79</v>
      </c>
      <c r="K605">
        <v>5</v>
      </c>
      <c r="L605" t="s">
        <v>22</v>
      </c>
      <c r="M605" t="str">
        <f t="shared" si="18"/>
        <v>Available</v>
      </c>
      <c r="N605">
        <f t="shared" si="19"/>
        <v>14691.400000000001</v>
      </c>
    </row>
    <row r="606" spans="1:14" x14ac:dyDescent="0.3">
      <c r="A606" t="s">
        <v>646</v>
      </c>
      <c r="B606" s="1">
        <v>45938</v>
      </c>
      <c r="C606" t="s">
        <v>13</v>
      </c>
      <c r="D606" t="s">
        <v>14</v>
      </c>
      <c r="E606" t="s">
        <v>42</v>
      </c>
      <c r="F606" t="s">
        <v>16</v>
      </c>
      <c r="G606">
        <v>29</v>
      </c>
      <c r="H606">
        <v>3994</v>
      </c>
      <c r="I606">
        <v>115826</v>
      </c>
      <c r="J606">
        <v>247</v>
      </c>
      <c r="K606">
        <v>5</v>
      </c>
      <c r="L606" t="s">
        <v>22</v>
      </c>
      <c r="M606" t="str">
        <f t="shared" si="18"/>
        <v>Available</v>
      </c>
      <c r="N606">
        <f t="shared" si="19"/>
        <v>23165.200000000001</v>
      </c>
    </row>
    <row r="607" spans="1:14" x14ac:dyDescent="0.3">
      <c r="A607" t="s">
        <v>647</v>
      </c>
      <c r="B607" s="1">
        <v>45664</v>
      </c>
      <c r="C607" t="s">
        <v>38</v>
      </c>
      <c r="D607" t="s">
        <v>14</v>
      </c>
      <c r="E607" t="s">
        <v>15</v>
      </c>
      <c r="F607" t="s">
        <v>21</v>
      </c>
      <c r="G607">
        <v>47</v>
      </c>
      <c r="H607">
        <v>561</v>
      </c>
      <c r="I607">
        <v>26367</v>
      </c>
      <c r="J607">
        <v>83</v>
      </c>
      <c r="K607">
        <v>10</v>
      </c>
      <c r="L607" t="s">
        <v>17</v>
      </c>
      <c r="M607" t="str">
        <f t="shared" si="18"/>
        <v>Available</v>
      </c>
      <c r="N607">
        <f t="shared" si="19"/>
        <v>5273.4000000000005</v>
      </c>
    </row>
    <row r="608" spans="1:14" x14ac:dyDescent="0.3">
      <c r="A608" t="s">
        <v>648</v>
      </c>
      <c r="B608" s="1">
        <v>45920</v>
      </c>
      <c r="C608" t="s">
        <v>38</v>
      </c>
      <c r="D608" t="s">
        <v>31</v>
      </c>
      <c r="E608" t="s">
        <v>76</v>
      </c>
      <c r="F608" t="s">
        <v>24</v>
      </c>
      <c r="G608">
        <v>33</v>
      </c>
      <c r="H608">
        <v>1044</v>
      </c>
      <c r="I608">
        <v>34452</v>
      </c>
      <c r="J608">
        <v>244</v>
      </c>
      <c r="K608">
        <v>9</v>
      </c>
      <c r="L608" t="s">
        <v>17</v>
      </c>
      <c r="M608" t="str">
        <f t="shared" si="18"/>
        <v>Available</v>
      </c>
      <c r="N608">
        <f t="shared" si="19"/>
        <v>6890.4000000000005</v>
      </c>
    </row>
    <row r="609" spans="1:14" x14ac:dyDescent="0.3">
      <c r="A609" t="s">
        <v>649</v>
      </c>
      <c r="B609" s="1">
        <v>45815</v>
      </c>
      <c r="C609" t="s">
        <v>13</v>
      </c>
      <c r="D609" t="s">
        <v>14</v>
      </c>
      <c r="E609" t="s">
        <v>42</v>
      </c>
      <c r="F609" t="s">
        <v>21</v>
      </c>
      <c r="G609">
        <v>31</v>
      </c>
      <c r="H609">
        <v>952</v>
      </c>
      <c r="I609">
        <v>29512</v>
      </c>
      <c r="J609">
        <v>188</v>
      </c>
      <c r="K609">
        <v>8</v>
      </c>
      <c r="L609" t="s">
        <v>17</v>
      </c>
      <c r="M609" t="str">
        <f t="shared" si="18"/>
        <v>Available</v>
      </c>
      <c r="N609">
        <f t="shared" si="19"/>
        <v>5902.4000000000005</v>
      </c>
    </row>
    <row r="610" spans="1:14" x14ac:dyDescent="0.3">
      <c r="A610" t="s">
        <v>650</v>
      </c>
      <c r="B610" s="1">
        <v>45899</v>
      </c>
      <c r="C610" t="s">
        <v>19</v>
      </c>
      <c r="D610" t="s">
        <v>27</v>
      </c>
      <c r="E610" t="s">
        <v>28</v>
      </c>
      <c r="F610" t="s">
        <v>29</v>
      </c>
      <c r="G610">
        <v>28</v>
      </c>
      <c r="H610">
        <v>3677</v>
      </c>
      <c r="I610">
        <v>102956</v>
      </c>
      <c r="J610">
        <v>114</v>
      </c>
      <c r="K610">
        <v>4</v>
      </c>
      <c r="L610" t="s">
        <v>22</v>
      </c>
      <c r="M610" t="str">
        <f t="shared" si="18"/>
        <v>Available</v>
      </c>
      <c r="N610">
        <f t="shared" si="19"/>
        <v>20591.2</v>
      </c>
    </row>
    <row r="611" spans="1:14" x14ac:dyDescent="0.3">
      <c r="A611" t="s">
        <v>651</v>
      </c>
      <c r="B611" s="1">
        <v>45691</v>
      </c>
      <c r="C611" t="s">
        <v>19</v>
      </c>
      <c r="D611" t="s">
        <v>14</v>
      </c>
      <c r="E611" t="s">
        <v>15</v>
      </c>
      <c r="F611" t="s">
        <v>21</v>
      </c>
      <c r="G611">
        <v>3</v>
      </c>
      <c r="H611">
        <v>4022</v>
      </c>
      <c r="I611">
        <v>12066</v>
      </c>
      <c r="J611">
        <v>166</v>
      </c>
      <c r="K611">
        <v>10</v>
      </c>
      <c r="L611" t="s">
        <v>17</v>
      </c>
      <c r="M611" t="str">
        <f t="shared" si="18"/>
        <v>Available</v>
      </c>
      <c r="N611">
        <f t="shared" si="19"/>
        <v>2413.2000000000003</v>
      </c>
    </row>
    <row r="612" spans="1:14" x14ac:dyDescent="0.3">
      <c r="A612" t="s">
        <v>652</v>
      </c>
      <c r="B612" s="1">
        <v>45874</v>
      </c>
      <c r="C612" t="s">
        <v>38</v>
      </c>
      <c r="D612" t="s">
        <v>14</v>
      </c>
      <c r="E612" t="s">
        <v>15</v>
      </c>
      <c r="F612" t="s">
        <v>29</v>
      </c>
      <c r="G612">
        <v>25</v>
      </c>
      <c r="H612">
        <v>4953</v>
      </c>
      <c r="I612">
        <v>123825</v>
      </c>
      <c r="J612">
        <v>280</v>
      </c>
      <c r="K612">
        <v>6</v>
      </c>
      <c r="L612" t="s">
        <v>17</v>
      </c>
      <c r="M612" t="str">
        <f t="shared" si="18"/>
        <v>Available</v>
      </c>
      <c r="N612">
        <f t="shared" si="19"/>
        <v>24765</v>
      </c>
    </row>
    <row r="613" spans="1:14" x14ac:dyDescent="0.3">
      <c r="A613" t="s">
        <v>653</v>
      </c>
      <c r="B613" s="1">
        <v>45950</v>
      </c>
      <c r="C613" t="s">
        <v>13</v>
      </c>
      <c r="D613" t="s">
        <v>51</v>
      </c>
      <c r="E613" t="s">
        <v>66</v>
      </c>
      <c r="F613" t="s">
        <v>21</v>
      </c>
      <c r="G613">
        <v>20</v>
      </c>
      <c r="H613">
        <v>2732</v>
      </c>
      <c r="I613">
        <v>54640</v>
      </c>
      <c r="J613">
        <v>118</v>
      </c>
      <c r="K613">
        <v>3</v>
      </c>
      <c r="L613" t="s">
        <v>22</v>
      </c>
      <c r="M613" t="str">
        <f t="shared" si="18"/>
        <v>Available</v>
      </c>
      <c r="N613">
        <f t="shared" si="19"/>
        <v>10928</v>
      </c>
    </row>
    <row r="614" spans="1:14" x14ac:dyDescent="0.3">
      <c r="A614" t="s">
        <v>654</v>
      </c>
      <c r="B614" s="1">
        <v>46010</v>
      </c>
      <c r="C614" t="s">
        <v>26</v>
      </c>
      <c r="D614" t="s">
        <v>31</v>
      </c>
      <c r="E614" t="s">
        <v>45</v>
      </c>
      <c r="F614" t="s">
        <v>24</v>
      </c>
      <c r="G614">
        <v>19</v>
      </c>
      <c r="H614">
        <v>619</v>
      </c>
      <c r="I614">
        <v>11761</v>
      </c>
      <c r="J614">
        <v>132</v>
      </c>
      <c r="K614">
        <v>4</v>
      </c>
      <c r="L614" t="s">
        <v>22</v>
      </c>
      <c r="M614" t="str">
        <f t="shared" si="18"/>
        <v>Available</v>
      </c>
      <c r="N614">
        <f t="shared" si="19"/>
        <v>2352.2000000000003</v>
      </c>
    </row>
    <row r="615" spans="1:14" x14ac:dyDescent="0.3">
      <c r="A615" t="s">
        <v>655</v>
      </c>
      <c r="B615" s="1">
        <v>45725</v>
      </c>
      <c r="C615" t="s">
        <v>26</v>
      </c>
      <c r="D615" t="s">
        <v>51</v>
      </c>
      <c r="E615" t="s">
        <v>66</v>
      </c>
      <c r="F615" t="s">
        <v>21</v>
      </c>
      <c r="G615">
        <v>23</v>
      </c>
      <c r="H615">
        <v>1218</v>
      </c>
      <c r="I615">
        <v>28014</v>
      </c>
      <c r="J615">
        <v>240</v>
      </c>
      <c r="K615">
        <v>2</v>
      </c>
      <c r="L615" t="s">
        <v>22</v>
      </c>
      <c r="M615" t="str">
        <f t="shared" si="18"/>
        <v>Available</v>
      </c>
      <c r="N615">
        <f t="shared" si="19"/>
        <v>5602.8</v>
      </c>
    </row>
    <row r="616" spans="1:14" x14ac:dyDescent="0.3">
      <c r="A616" t="s">
        <v>656</v>
      </c>
      <c r="B616" s="1">
        <v>45795</v>
      </c>
      <c r="C616" t="s">
        <v>13</v>
      </c>
      <c r="D616" t="s">
        <v>27</v>
      </c>
      <c r="E616" t="s">
        <v>83</v>
      </c>
      <c r="F616" t="s">
        <v>29</v>
      </c>
      <c r="G616">
        <v>34</v>
      </c>
      <c r="H616">
        <v>807</v>
      </c>
      <c r="I616">
        <v>27438</v>
      </c>
      <c r="J616">
        <v>299</v>
      </c>
      <c r="K616">
        <v>2</v>
      </c>
      <c r="L616" t="s">
        <v>22</v>
      </c>
      <c r="M616" t="str">
        <f t="shared" si="18"/>
        <v>Available</v>
      </c>
      <c r="N616">
        <f t="shared" si="19"/>
        <v>5487.6</v>
      </c>
    </row>
    <row r="617" spans="1:14" x14ac:dyDescent="0.3">
      <c r="A617" t="s">
        <v>657</v>
      </c>
      <c r="B617" s="1">
        <v>46007</v>
      </c>
      <c r="C617" t="s">
        <v>26</v>
      </c>
      <c r="D617" t="s">
        <v>31</v>
      </c>
      <c r="E617" t="s">
        <v>40</v>
      </c>
      <c r="F617" t="s">
        <v>29</v>
      </c>
      <c r="G617">
        <v>29</v>
      </c>
      <c r="H617">
        <v>2563</v>
      </c>
      <c r="I617">
        <v>74327</v>
      </c>
      <c r="J617">
        <v>188</v>
      </c>
      <c r="K617">
        <v>6</v>
      </c>
      <c r="L617" t="s">
        <v>17</v>
      </c>
      <c r="M617" t="str">
        <f t="shared" si="18"/>
        <v>Available</v>
      </c>
      <c r="N617">
        <f t="shared" si="19"/>
        <v>14865.400000000001</v>
      </c>
    </row>
    <row r="618" spans="1:14" x14ac:dyDescent="0.3">
      <c r="A618" t="s">
        <v>658</v>
      </c>
      <c r="B618" s="1">
        <v>45995</v>
      </c>
      <c r="C618" t="s">
        <v>13</v>
      </c>
      <c r="D618" t="s">
        <v>31</v>
      </c>
      <c r="E618" t="s">
        <v>32</v>
      </c>
      <c r="F618" t="s">
        <v>29</v>
      </c>
      <c r="G618">
        <v>4</v>
      </c>
      <c r="H618">
        <v>3526</v>
      </c>
      <c r="I618">
        <v>14104</v>
      </c>
      <c r="J618">
        <v>75</v>
      </c>
      <c r="K618">
        <v>4</v>
      </c>
      <c r="L618" t="s">
        <v>22</v>
      </c>
      <c r="M618" t="str">
        <f t="shared" si="18"/>
        <v>Available</v>
      </c>
      <c r="N618">
        <f t="shared" si="19"/>
        <v>2820.8</v>
      </c>
    </row>
    <row r="619" spans="1:14" x14ac:dyDescent="0.3">
      <c r="A619" t="s">
        <v>659</v>
      </c>
      <c r="B619" s="1">
        <v>45912</v>
      </c>
      <c r="C619" t="s">
        <v>19</v>
      </c>
      <c r="D619" t="s">
        <v>27</v>
      </c>
      <c r="E619" t="s">
        <v>64</v>
      </c>
      <c r="F619" t="s">
        <v>21</v>
      </c>
      <c r="G619">
        <v>1</v>
      </c>
      <c r="H619">
        <v>1106</v>
      </c>
      <c r="I619">
        <v>1106</v>
      </c>
      <c r="J619">
        <v>55</v>
      </c>
      <c r="K619">
        <v>9</v>
      </c>
      <c r="L619" t="s">
        <v>17</v>
      </c>
      <c r="M619" t="str">
        <f t="shared" si="18"/>
        <v>Available</v>
      </c>
      <c r="N619">
        <f t="shared" si="19"/>
        <v>221.20000000000002</v>
      </c>
    </row>
    <row r="620" spans="1:14" x14ac:dyDescent="0.3">
      <c r="A620" t="s">
        <v>660</v>
      </c>
      <c r="B620" s="1">
        <v>45998</v>
      </c>
      <c r="C620" t="s">
        <v>19</v>
      </c>
      <c r="D620" t="s">
        <v>27</v>
      </c>
      <c r="E620" t="s">
        <v>64</v>
      </c>
      <c r="F620" t="s">
        <v>24</v>
      </c>
      <c r="G620">
        <v>20</v>
      </c>
      <c r="H620">
        <v>3685</v>
      </c>
      <c r="I620">
        <v>73700</v>
      </c>
      <c r="J620">
        <v>129</v>
      </c>
      <c r="K620">
        <v>3</v>
      </c>
      <c r="L620" t="s">
        <v>22</v>
      </c>
      <c r="M620" t="str">
        <f t="shared" si="18"/>
        <v>Available</v>
      </c>
      <c r="N620">
        <f t="shared" si="19"/>
        <v>14740</v>
      </c>
    </row>
    <row r="621" spans="1:14" x14ac:dyDescent="0.3">
      <c r="A621" t="s">
        <v>661</v>
      </c>
      <c r="B621" s="1">
        <v>45986</v>
      </c>
      <c r="C621" t="s">
        <v>26</v>
      </c>
      <c r="D621" t="s">
        <v>27</v>
      </c>
      <c r="E621" t="s">
        <v>34</v>
      </c>
      <c r="F621" t="s">
        <v>24</v>
      </c>
      <c r="G621">
        <v>11</v>
      </c>
      <c r="H621">
        <v>3848</v>
      </c>
      <c r="I621">
        <v>42328</v>
      </c>
      <c r="J621">
        <v>167</v>
      </c>
      <c r="K621">
        <v>9</v>
      </c>
      <c r="L621" t="s">
        <v>17</v>
      </c>
      <c r="M621" t="str">
        <f t="shared" si="18"/>
        <v>Available</v>
      </c>
      <c r="N621">
        <f t="shared" si="19"/>
        <v>8465.6</v>
      </c>
    </row>
    <row r="622" spans="1:14" x14ac:dyDescent="0.3">
      <c r="A622" t="s">
        <v>662</v>
      </c>
      <c r="B622" s="1">
        <v>45979</v>
      </c>
      <c r="C622" t="s">
        <v>13</v>
      </c>
      <c r="D622" t="s">
        <v>27</v>
      </c>
      <c r="E622" t="s">
        <v>28</v>
      </c>
      <c r="F622" t="s">
        <v>16</v>
      </c>
      <c r="G622">
        <v>3</v>
      </c>
      <c r="H622">
        <v>4147</v>
      </c>
      <c r="I622">
        <v>12441</v>
      </c>
      <c r="J622">
        <v>259</v>
      </c>
      <c r="K622">
        <v>3</v>
      </c>
      <c r="L622" t="s">
        <v>22</v>
      </c>
      <c r="M622" t="str">
        <f t="shared" si="18"/>
        <v>Available</v>
      </c>
      <c r="N622">
        <f t="shared" si="19"/>
        <v>2488.2000000000003</v>
      </c>
    </row>
    <row r="623" spans="1:14" x14ac:dyDescent="0.3">
      <c r="A623" t="s">
        <v>663</v>
      </c>
      <c r="B623" s="1">
        <v>45818</v>
      </c>
      <c r="C623" t="s">
        <v>19</v>
      </c>
      <c r="D623" t="s">
        <v>31</v>
      </c>
      <c r="E623" t="s">
        <v>40</v>
      </c>
      <c r="F623" t="s">
        <v>24</v>
      </c>
      <c r="G623">
        <v>50</v>
      </c>
      <c r="H623">
        <v>4494</v>
      </c>
      <c r="I623">
        <v>224700</v>
      </c>
      <c r="J623">
        <v>295</v>
      </c>
      <c r="K623">
        <v>9</v>
      </c>
      <c r="L623" t="s">
        <v>17</v>
      </c>
      <c r="M623" t="str">
        <f t="shared" si="18"/>
        <v>Available</v>
      </c>
      <c r="N623">
        <f t="shared" si="19"/>
        <v>44940</v>
      </c>
    </row>
    <row r="624" spans="1:14" x14ac:dyDescent="0.3">
      <c r="A624" t="s">
        <v>664</v>
      </c>
      <c r="B624" s="1">
        <v>45786</v>
      </c>
      <c r="C624" t="s">
        <v>13</v>
      </c>
      <c r="D624" t="s">
        <v>14</v>
      </c>
      <c r="E624" t="s">
        <v>42</v>
      </c>
      <c r="F624" t="s">
        <v>24</v>
      </c>
      <c r="G624">
        <v>7</v>
      </c>
      <c r="H624">
        <v>3054</v>
      </c>
      <c r="I624">
        <v>21378</v>
      </c>
      <c r="J624">
        <v>181</v>
      </c>
      <c r="K624">
        <v>2</v>
      </c>
      <c r="L624" t="s">
        <v>22</v>
      </c>
      <c r="M624" t="str">
        <f t="shared" si="18"/>
        <v>Available</v>
      </c>
      <c r="N624">
        <f t="shared" si="19"/>
        <v>4275.6000000000004</v>
      </c>
    </row>
    <row r="625" spans="1:14" x14ac:dyDescent="0.3">
      <c r="A625" t="s">
        <v>665</v>
      </c>
      <c r="B625" s="1">
        <v>45702</v>
      </c>
      <c r="C625" t="s">
        <v>26</v>
      </c>
      <c r="D625" t="s">
        <v>31</v>
      </c>
      <c r="E625" t="s">
        <v>40</v>
      </c>
      <c r="F625" t="s">
        <v>16</v>
      </c>
      <c r="G625">
        <v>6</v>
      </c>
      <c r="H625">
        <v>626</v>
      </c>
      <c r="I625">
        <v>3756</v>
      </c>
      <c r="J625">
        <v>72</v>
      </c>
      <c r="K625">
        <v>10</v>
      </c>
      <c r="L625" t="s">
        <v>17</v>
      </c>
      <c r="M625" t="str">
        <f t="shared" si="18"/>
        <v>Available</v>
      </c>
      <c r="N625">
        <f t="shared" si="19"/>
        <v>751.2</v>
      </c>
    </row>
    <row r="626" spans="1:14" x14ac:dyDescent="0.3">
      <c r="A626" t="s">
        <v>666</v>
      </c>
      <c r="B626" s="1">
        <v>45952</v>
      </c>
      <c r="C626" t="s">
        <v>13</v>
      </c>
      <c r="D626" t="s">
        <v>31</v>
      </c>
      <c r="E626" t="s">
        <v>32</v>
      </c>
      <c r="F626" t="s">
        <v>16</v>
      </c>
      <c r="G626">
        <v>40</v>
      </c>
      <c r="H626">
        <v>1990</v>
      </c>
      <c r="I626">
        <v>79600</v>
      </c>
      <c r="J626">
        <v>184</v>
      </c>
      <c r="K626">
        <v>7</v>
      </c>
      <c r="L626" t="s">
        <v>17</v>
      </c>
      <c r="M626" t="str">
        <f t="shared" si="18"/>
        <v>Available</v>
      </c>
      <c r="N626">
        <f t="shared" si="19"/>
        <v>15920</v>
      </c>
    </row>
    <row r="627" spans="1:14" x14ac:dyDescent="0.3">
      <c r="A627" t="s">
        <v>667</v>
      </c>
      <c r="B627" s="1">
        <v>45688</v>
      </c>
      <c r="C627" t="s">
        <v>19</v>
      </c>
      <c r="D627" t="s">
        <v>51</v>
      </c>
      <c r="E627" t="s">
        <v>90</v>
      </c>
      <c r="F627" t="s">
        <v>24</v>
      </c>
      <c r="G627">
        <v>42</v>
      </c>
      <c r="H627">
        <v>2014</v>
      </c>
      <c r="I627">
        <v>84588</v>
      </c>
      <c r="J627">
        <v>152</v>
      </c>
      <c r="K627">
        <v>4</v>
      </c>
      <c r="L627" t="s">
        <v>22</v>
      </c>
      <c r="M627" t="str">
        <f t="shared" si="18"/>
        <v>Available</v>
      </c>
      <c r="N627">
        <f t="shared" si="19"/>
        <v>16917.600000000002</v>
      </c>
    </row>
    <row r="628" spans="1:14" x14ac:dyDescent="0.3">
      <c r="A628" t="s">
        <v>668</v>
      </c>
      <c r="B628" s="1">
        <v>45669</v>
      </c>
      <c r="C628" t="s">
        <v>13</v>
      </c>
      <c r="D628" t="s">
        <v>14</v>
      </c>
      <c r="E628" t="s">
        <v>58</v>
      </c>
      <c r="F628" t="s">
        <v>29</v>
      </c>
      <c r="G628">
        <v>30</v>
      </c>
      <c r="H628">
        <v>4243</v>
      </c>
      <c r="I628">
        <v>127290</v>
      </c>
      <c r="J628">
        <v>58</v>
      </c>
      <c r="K628">
        <v>3</v>
      </c>
      <c r="L628" t="s">
        <v>22</v>
      </c>
      <c r="M628" t="str">
        <f t="shared" si="18"/>
        <v>Available</v>
      </c>
      <c r="N628">
        <f t="shared" si="19"/>
        <v>25458</v>
      </c>
    </row>
    <row r="629" spans="1:14" x14ac:dyDescent="0.3">
      <c r="A629" t="s">
        <v>669</v>
      </c>
      <c r="B629" s="1">
        <v>46009</v>
      </c>
      <c r="C629" t="s">
        <v>26</v>
      </c>
      <c r="D629" t="s">
        <v>27</v>
      </c>
      <c r="E629" t="s">
        <v>83</v>
      </c>
      <c r="F629" t="s">
        <v>16</v>
      </c>
      <c r="G629">
        <v>35</v>
      </c>
      <c r="H629">
        <v>4774</v>
      </c>
      <c r="I629">
        <v>167090</v>
      </c>
      <c r="J629">
        <v>140</v>
      </c>
      <c r="K629">
        <v>9</v>
      </c>
      <c r="L629" t="s">
        <v>17</v>
      </c>
      <c r="M629" t="str">
        <f t="shared" si="18"/>
        <v>Available</v>
      </c>
      <c r="N629">
        <f t="shared" si="19"/>
        <v>33418</v>
      </c>
    </row>
    <row r="630" spans="1:14" x14ac:dyDescent="0.3">
      <c r="A630" t="s">
        <v>670</v>
      </c>
      <c r="B630" s="1">
        <v>45875</v>
      </c>
      <c r="C630" t="s">
        <v>19</v>
      </c>
      <c r="D630" t="s">
        <v>31</v>
      </c>
      <c r="E630" t="s">
        <v>45</v>
      </c>
      <c r="F630" t="s">
        <v>16</v>
      </c>
      <c r="G630">
        <v>33</v>
      </c>
      <c r="H630">
        <v>2922</v>
      </c>
      <c r="I630">
        <v>96426</v>
      </c>
      <c r="J630">
        <v>75</v>
      </c>
      <c r="K630">
        <v>2</v>
      </c>
      <c r="L630" t="s">
        <v>22</v>
      </c>
      <c r="M630" t="str">
        <f t="shared" si="18"/>
        <v>Available</v>
      </c>
      <c r="N630">
        <f t="shared" si="19"/>
        <v>19285.2</v>
      </c>
    </row>
    <row r="631" spans="1:14" x14ac:dyDescent="0.3">
      <c r="A631" t="s">
        <v>671</v>
      </c>
      <c r="B631" s="1">
        <v>45709</v>
      </c>
      <c r="C631" t="s">
        <v>38</v>
      </c>
      <c r="D631" t="s">
        <v>51</v>
      </c>
      <c r="E631" t="s">
        <v>90</v>
      </c>
      <c r="F631" t="s">
        <v>16</v>
      </c>
      <c r="G631">
        <v>24</v>
      </c>
      <c r="H631">
        <v>3931</v>
      </c>
      <c r="I631">
        <v>94344</v>
      </c>
      <c r="J631">
        <v>42</v>
      </c>
      <c r="K631">
        <v>8</v>
      </c>
      <c r="L631" t="s">
        <v>17</v>
      </c>
      <c r="M631" t="str">
        <f t="shared" si="18"/>
        <v>Reorder</v>
      </c>
      <c r="N631">
        <f t="shared" si="19"/>
        <v>18868.8</v>
      </c>
    </row>
    <row r="632" spans="1:14" x14ac:dyDescent="0.3">
      <c r="A632" t="s">
        <v>672</v>
      </c>
      <c r="B632" s="1">
        <v>45760</v>
      </c>
      <c r="C632" t="s">
        <v>19</v>
      </c>
      <c r="D632" t="s">
        <v>31</v>
      </c>
      <c r="E632" t="s">
        <v>45</v>
      </c>
      <c r="F632" t="s">
        <v>21</v>
      </c>
      <c r="G632">
        <v>19</v>
      </c>
      <c r="H632">
        <v>3101</v>
      </c>
      <c r="I632">
        <v>58919</v>
      </c>
      <c r="J632">
        <v>115</v>
      </c>
      <c r="K632">
        <v>3</v>
      </c>
      <c r="L632" t="s">
        <v>22</v>
      </c>
      <c r="M632" t="str">
        <f t="shared" si="18"/>
        <v>Available</v>
      </c>
      <c r="N632">
        <f t="shared" si="19"/>
        <v>11783.800000000001</v>
      </c>
    </row>
    <row r="633" spans="1:14" x14ac:dyDescent="0.3">
      <c r="A633" t="s">
        <v>673</v>
      </c>
      <c r="B633" s="1">
        <v>45981</v>
      </c>
      <c r="C633" t="s">
        <v>13</v>
      </c>
      <c r="D633" t="s">
        <v>14</v>
      </c>
      <c r="E633" t="s">
        <v>15</v>
      </c>
      <c r="F633" t="s">
        <v>24</v>
      </c>
      <c r="G633">
        <v>17</v>
      </c>
      <c r="H633">
        <v>3848</v>
      </c>
      <c r="I633">
        <v>65416</v>
      </c>
      <c r="J633">
        <v>218</v>
      </c>
      <c r="K633">
        <v>6</v>
      </c>
      <c r="L633" t="s">
        <v>17</v>
      </c>
      <c r="M633" t="str">
        <f t="shared" si="18"/>
        <v>Available</v>
      </c>
      <c r="N633">
        <f t="shared" si="19"/>
        <v>13083.2</v>
      </c>
    </row>
    <row r="634" spans="1:14" x14ac:dyDescent="0.3">
      <c r="A634" t="s">
        <v>674</v>
      </c>
      <c r="B634" s="1">
        <v>45716</v>
      </c>
      <c r="C634" t="s">
        <v>26</v>
      </c>
      <c r="D634" t="s">
        <v>27</v>
      </c>
      <c r="E634" t="s">
        <v>64</v>
      </c>
      <c r="F634" t="s">
        <v>24</v>
      </c>
      <c r="G634">
        <v>49</v>
      </c>
      <c r="H634">
        <v>1900</v>
      </c>
      <c r="I634">
        <v>93100</v>
      </c>
      <c r="J634">
        <v>276</v>
      </c>
      <c r="K634">
        <v>2</v>
      </c>
      <c r="L634" t="s">
        <v>22</v>
      </c>
      <c r="M634" t="str">
        <f t="shared" si="18"/>
        <v>Available</v>
      </c>
      <c r="N634">
        <f t="shared" si="19"/>
        <v>18620</v>
      </c>
    </row>
    <row r="635" spans="1:14" x14ac:dyDescent="0.3">
      <c r="A635" t="s">
        <v>675</v>
      </c>
      <c r="B635" s="1">
        <v>45883</v>
      </c>
      <c r="C635" t="s">
        <v>38</v>
      </c>
      <c r="D635" t="s">
        <v>14</v>
      </c>
      <c r="E635" t="s">
        <v>58</v>
      </c>
      <c r="F635" t="s">
        <v>29</v>
      </c>
      <c r="G635">
        <v>44</v>
      </c>
      <c r="H635">
        <v>2182</v>
      </c>
      <c r="I635">
        <v>96008</v>
      </c>
      <c r="J635">
        <v>48</v>
      </c>
      <c r="K635">
        <v>2</v>
      </c>
      <c r="L635" t="s">
        <v>22</v>
      </c>
      <c r="M635" t="str">
        <f t="shared" si="18"/>
        <v>Reorder</v>
      </c>
      <c r="N635">
        <f t="shared" si="19"/>
        <v>19201.600000000002</v>
      </c>
    </row>
    <row r="636" spans="1:14" x14ac:dyDescent="0.3">
      <c r="A636" t="s">
        <v>676</v>
      </c>
      <c r="B636" s="1">
        <v>45903</v>
      </c>
      <c r="C636" t="s">
        <v>19</v>
      </c>
      <c r="D636" t="s">
        <v>14</v>
      </c>
      <c r="E636" t="s">
        <v>15</v>
      </c>
      <c r="F636" t="s">
        <v>21</v>
      </c>
      <c r="G636">
        <v>25</v>
      </c>
      <c r="H636">
        <v>3553</v>
      </c>
      <c r="I636">
        <v>88825</v>
      </c>
      <c r="J636">
        <v>121</v>
      </c>
      <c r="K636">
        <v>5</v>
      </c>
      <c r="L636" t="s">
        <v>22</v>
      </c>
      <c r="M636" t="str">
        <f t="shared" si="18"/>
        <v>Available</v>
      </c>
      <c r="N636">
        <f t="shared" si="19"/>
        <v>17765</v>
      </c>
    </row>
    <row r="637" spans="1:14" x14ac:dyDescent="0.3">
      <c r="A637" t="s">
        <v>677</v>
      </c>
      <c r="B637" s="1">
        <v>45769</v>
      </c>
      <c r="C637" t="s">
        <v>38</v>
      </c>
      <c r="D637" t="s">
        <v>51</v>
      </c>
      <c r="E637" t="s">
        <v>66</v>
      </c>
      <c r="F637" t="s">
        <v>21</v>
      </c>
      <c r="G637">
        <v>38</v>
      </c>
      <c r="H637">
        <v>2572</v>
      </c>
      <c r="I637">
        <v>97736</v>
      </c>
      <c r="J637">
        <v>181</v>
      </c>
      <c r="K637">
        <v>8</v>
      </c>
      <c r="L637" t="s">
        <v>17</v>
      </c>
      <c r="M637" t="str">
        <f t="shared" si="18"/>
        <v>Available</v>
      </c>
      <c r="N637">
        <f t="shared" si="19"/>
        <v>19547.2</v>
      </c>
    </row>
    <row r="638" spans="1:14" x14ac:dyDescent="0.3">
      <c r="A638" t="s">
        <v>678</v>
      </c>
      <c r="B638" s="1">
        <v>45955</v>
      </c>
      <c r="C638" t="s">
        <v>19</v>
      </c>
      <c r="D638" t="s">
        <v>27</v>
      </c>
      <c r="E638" t="s">
        <v>64</v>
      </c>
      <c r="F638" t="s">
        <v>21</v>
      </c>
      <c r="G638">
        <v>33</v>
      </c>
      <c r="H638">
        <v>2819</v>
      </c>
      <c r="I638">
        <v>93027</v>
      </c>
      <c r="J638">
        <v>128</v>
      </c>
      <c r="K638">
        <v>4</v>
      </c>
      <c r="L638" t="s">
        <v>22</v>
      </c>
      <c r="M638" t="str">
        <f t="shared" si="18"/>
        <v>Available</v>
      </c>
      <c r="N638">
        <f t="shared" si="19"/>
        <v>18605.400000000001</v>
      </c>
    </row>
    <row r="639" spans="1:14" x14ac:dyDescent="0.3">
      <c r="A639" t="s">
        <v>679</v>
      </c>
      <c r="B639" s="1">
        <v>45779</v>
      </c>
      <c r="C639" t="s">
        <v>38</v>
      </c>
      <c r="D639" t="s">
        <v>31</v>
      </c>
      <c r="E639" t="s">
        <v>32</v>
      </c>
      <c r="F639" t="s">
        <v>29</v>
      </c>
      <c r="G639">
        <v>13</v>
      </c>
      <c r="H639">
        <v>3897</v>
      </c>
      <c r="I639">
        <v>50661</v>
      </c>
      <c r="J639">
        <v>167</v>
      </c>
      <c r="K639">
        <v>9</v>
      </c>
      <c r="L639" t="s">
        <v>17</v>
      </c>
      <c r="M639" t="str">
        <f t="shared" si="18"/>
        <v>Available</v>
      </c>
      <c r="N639">
        <f t="shared" si="19"/>
        <v>10132.200000000001</v>
      </c>
    </row>
    <row r="640" spans="1:14" x14ac:dyDescent="0.3">
      <c r="A640" t="s">
        <v>680</v>
      </c>
      <c r="B640" s="1">
        <v>45972</v>
      </c>
      <c r="C640" t="s">
        <v>19</v>
      </c>
      <c r="D640" t="s">
        <v>51</v>
      </c>
      <c r="E640" t="s">
        <v>90</v>
      </c>
      <c r="F640" t="s">
        <v>16</v>
      </c>
      <c r="G640">
        <v>46</v>
      </c>
      <c r="H640">
        <v>2631</v>
      </c>
      <c r="I640">
        <v>121026</v>
      </c>
      <c r="J640">
        <v>11</v>
      </c>
      <c r="K640">
        <v>9</v>
      </c>
      <c r="L640" t="s">
        <v>17</v>
      </c>
      <c r="M640" t="str">
        <f t="shared" si="18"/>
        <v>Reorder</v>
      </c>
      <c r="N640">
        <f t="shared" si="19"/>
        <v>24205.200000000001</v>
      </c>
    </row>
    <row r="641" spans="1:14" x14ac:dyDescent="0.3">
      <c r="A641" t="s">
        <v>681</v>
      </c>
      <c r="B641" s="1">
        <v>46019</v>
      </c>
      <c r="C641" t="s">
        <v>38</v>
      </c>
      <c r="D641" t="s">
        <v>31</v>
      </c>
      <c r="E641" t="s">
        <v>32</v>
      </c>
      <c r="F641" t="s">
        <v>24</v>
      </c>
      <c r="G641">
        <v>27</v>
      </c>
      <c r="H641">
        <v>3649</v>
      </c>
      <c r="I641">
        <v>98523</v>
      </c>
      <c r="J641">
        <v>162</v>
      </c>
      <c r="K641">
        <v>2</v>
      </c>
      <c r="L641" t="s">
        <v>22</v>
      </c>
      <c r="M641" t="str">
        <f t="shared" si="18"/>
        <v>Available</v>
      </c>
      <c r="N641">
        <f t="shared" si="19"/>
        <v>19704.600000000002</v>
      </c>
    </row>
    <row r="642" spans="1:14" x14ac:dyDescent="0.3">
      <c r="A642" t="s">
        <v>682</v>
      </c>
      <c r="B642" s="1">
        <v>46001</v>
      </c>
      <c r="C642" t="s">
        <v>26</v>
      </c>
      <c r="D642" t="s">
        <v>27</v>
      </c>
      <c r="E642" t="s">
        <v>28</v>
      </c>
      <c r="F642" t="s">
        <v>16</v>
      </c>
      <c r="G642">
        <v>10</v>
      </c>
      <c r="H642">
        <v>3260</v>
      </c>
      <c r="I642">
        <v>32600</v>
      </c>
      <c r="J642">
        <v>88</v>
      </c>
      <c r="K642">
        <v>6</v>
      </c>
      <c r="L642" t="s">
        <v>17</v>
      </c>
      <c r="M642" t="str">
        <f t="shared" si="18"/>
        <v>Available</v>
      </c>
      <c r="N642">
        <f t="shared" si="19"/>
        <v>6520</v>
      </c>
    </row>
    <row r="643" spans="1:14" x14ac:dyDescent="0.3">
      <c r="A643" t="s">
        <v>683</v>
      </c>
      <c r="B643" s="1">
        <v>45836</v>
      </c>
      <c r="C643" t="s">
        <v>38</v>
      </c>
      <c r="D643" t="s">
        <v>27</v>
      </c>
      <c r="E643" t="s">
        <v>83</v>
      </c>
      <c r="F643" t="s">
        <v>16</v>
      </c>
      <c r="G643">
        <v>19</v>
      </c>
      <c r="H643">
        <v>3909</v>
      </c>
      <c r="I643">
        <v>74271</v>
      </c>
      <c r="J643">
        <v>30</v>
      </c>
      <c r="K643">
        <v>6</v>
      </c>
      <c r="L643" t="s">
        <v>17</v>
      </c>
      <c r="M643" t="str">
        <f t="shared" ref="M643:M706" si="20">IF(J643&lt;50,"Reorder","Available")</f>
        <v>Reorder</v>
      </c>
      <c r="N643">
        <f t="shared" ref="N643:N706" si="21">I643*20%</f>
        <v>14854.2</v>
      </c>
    </row>
    <row r="644" spans="1:14" x14ac:dyDescent="0.3">
      <c r="A644" t="s">
        <v>684</v>
      </c>
      <c r="B644" s="1">
        <v>45844</v>
      </c>
      <c r="C644" t="s">
        <v>26</v>
      </c>
      <c r="D644" t="s">
        <v>14</v>
      </c>
      <c r="E644" t="s">
        <v>20</v>
      </c>
      <c r="F644" t="s">
        <v>16</v>
      </c>
      <c r="G644">
        <v>31</v>
      </c>
      <c r="H644">
        <v>2655</v>
      </c>
      <c r="I644">
        <v>82305</v>
      </c>
      <c r="J644">
        <v>130</v>
      </c>
      <c r="K644">
        <v>2</v>
      </c>
      <c r="L644" t="s">
        <v>22</v>
      </c>
      <c r="M644" t="str">
        <f t="shared" si="20"/>
        <v>Available</v>
      </c>
      <c r="N644">
        <f t="shared" si="21"/>
        <v>16461</v>
      </c>
    </row>
    <row r="645" spans="1:14" x14ac:dyDescent="0.3">
      <c r="A645" t="s">
        <v>685</v>
      </c>
      <c r="B645" s="1">
        <v>45958</v>
      </c>
      <c r="C645" t="s">
        <v>26</v>
      </c>
      <c r="D645" t="s">
        <v>31</v>
      </c>
      <c r="E645" t="s">
        <v>76</v>
      </c>
      <c r="F645" t="s">
        <v>21</v>
      </c>
      <c r="G645">
        <v>45</v>
      </c>
      <c r="H645">
        <v>650</v>
      </c>
      <c r="I645">
        <v>29250</v>
      </c>
      <c r="J645">
        <v>230</v>
      </c>
      <c r="K645">
        <v>8</v>
      </c>
      <c r="L645" t="s">
        <v>17</v>
      </c>
      <c r="M645" t="str">
        <f t="shared" si="20"/>
        <v>Available</v>
      </c>
      <c r="N645">
        <f t="shared" si="21"/>
        <v>5850</v>
      </c>
    </row>
    <row r="646" spans="1:14" x14ac:dyDescent="0.3">
      <c r="A646" t="s">
        <v>686</v>
      </c>
      <c r="B646" s="1">
        <v>45968</v>
      </c>
      <c r="C646" t="s">
        <v>13</v>
      </c>
      <c r="D646" t="s">
        <v>31</v>
      </c>
      <c r="E646" t="s">
        <v>40</v>
      </c>
      <c r="F646" t="s">
        <v>21</v>
      </c>
      <c r="G646">
        <v>45</v>
      </c>
      <c r="H646">
        <v>4865</v>
      </c>
      <c r="I646">
        <v>218925</v>
      </c>
      <c r="J646">
        <v>159</v>
      </c>
      <c r="K646">
        <v>2</v>
      </c>
      <c r="L646" t="s">
        <v>22</v>
      </c>
      <c r="M646" t="str">
        <f t="shared" si="20"/>
        <v>Available</v>
      </c>
      <c r="N646">
        <f t="shared" si="21"/>
        <v>43785</v>
      </c>
    </row>
    <row r="647" spans="1:14" x14ac:dyDescent="0.3">
      <c r="A647" t="s">
        <v>687</v>
      </c>
      <c r="B647" s="1">
        <v>45882</v>
      </c>
      <c r="C647" t="s">
        <v>13</v>
      </c>
      <c r="D647" t="s">
        <v>51</v>
      </c>
      <c r="E647" t="s">
        <v>66</v>
      </c>
      <c r="F647" t="s">
        <v>16</v>
      </c>
      <c r="G647">
        <v>34</v>
      </c>
      <c r="H647">
        <v>4348</v>
      </c>
      <c r="I647">
        <v>147832</v>
      </c>
      <c r="J647">
        <v>20</v>
      </c>
      <c r="K647">
        <v>6</v>
      </c>
      <c r="L647" t="s">
        <v>17</v>
      </c>
      <c r="M647" t="str">
        <f t="shared" si="20"/>
        <v>Reorder</v>
      </c>
      <c r="N647">
        <f t="shared" si="21"/>
        <v>29566.400000000001</v>
      </c>
    </row>
    <row r="648" spans="1:14" x14ac:dyDescent="0.3">
      <c r="A648" t="s">
        <v>688</v>
      </c>
      <c r="B648" s="1">
        <v>45873</v>
      </c>
      <c r="C648" t="s">
        <v>38</v>
      </c>
      <c r="D648" t="s">
        <v>31</v>
      </c>
      <c r="E648" t="s">
        <v>76</v>
      </c>
      <c r="F648" t="s">
        <v>29</v>
      </c>
      <c r="G648">
        <v>4</v>
      </c>
      <c r="H648">
        <v>4148</v>
      </c>
      <c r="I648">
        <v>16592</v>
      </c>
      <c r="J648">
        <v>112</v>
      </c>
      <c r="K648">
        <v>3</v>
      </c>
      <c r="L648" t="s">
        <v>22</v>
      </c>
      <c r="M648" t="str">
        <f t="shared" si="20"/>
        <v>Available</v>
      </c>
      <c r="N648">
        <f t="shared" si="21"/>
        <v>3318.4</v>
      </c>
    </row>
    <row r="649" spans="1:14" x14ac:dyDescent="0.3">
      <c r="A649" t="s">
        <v>689</v>
      </c>
      <c r="B649" s="1">
        <v>45779</v>
      </c>
      <c r="C649" t="s">
        <v>38</v>
      </c>
      <c r="D649" t="s">
        <v>14</v>
      </c>
      <c r="E649" t="s">
        <v>58</v>
      </c>
      <c r="F649" t="s">
        <v>16</v>
      </c>
      <c r="G649">
        <v>44</v>
      </c>
      <c r="H649">
        <v>4679</v>
      </c>
      <c r="I649">
        <v>205876</v>
      </c>
      <c r="J649">
        <v>178</v>
      </c>
      <c r="K649">
        <v>3</v>
      </c>
      <c r="L649" t="s">
        <v>22</v>
      </c>
      <c r="M649" t="str">
        <f t="shared" si="20"/>
        <v>Available</v>
      </c>
      <c r="N649">
        <f t="shared" si="21"/>
        <v>41175.200000000004</v>
      </c>
    </row>
    <row r="650" spans="1:14" x14ac:dyDescent="0.3">
      <c r="A650" t="s">
        <v>690</v>
      </c>
      <c r="B650" s="1">
        <v>45832</v>
      </c>
      <c r="C650" t="s">
        <v>13</v>
      </c>
      <c r="D650" t="s">
        <v>27</v>
      </c>
      <c r="E650" t="s">
        <v>83</v>
      </c>
      <c r="F650" t="s">
        <v>16</v>
      </c>
      <c r="G650">
        <v>21</v>
      </c>
      <c r="H650">
        <v>3545</v>
      </c>
      <c r="I650">
        <v>74445</v>
      </c>
      <c r="J650">
        <v>138</v>
      </c>
      <c r="K650">
        <v>4</v>
      </c>
      <c r="L650" t="s">
        <v>22</v>
      </c>
      <c r="M650" t="str">
        <f t="shared" si="20"/>
        <v>Available</v>
      </c>
      <c r="N650">
        <f t="shared" si="21"/>
        <v>14889</v>
      </c>
    </row>
    <row r="651" spans="1:14" x14ac:dyDescent="0.3">
      <c r="A651" t="s">
        <v>691</v>
      </c>
      <c r="B651" s="1">
        <v>45792</v>
      </c>
      <c r="C651" t="s">
        <v>13</v>
      </c>
      <c r="D651" t="s">
        <v>51</v>
      </c>
      <c r="E651" t="s">
        <v>56</v>
      </c>
      <c r="F651" t="s">
        <v>21</v>
      </c>
      <c r="G651">
        <v>41</v>
      </c>
      <c r="H651">
        <v>3908</v>
      </c>
      <c r="I651">
        <v>160228</v>
      </c>
      <c r="J651">
        <v>234</v>
      </c>
      <c r="K651">
        <v>8</v>
      </c>
      <c r="L651" t="s">
        <v>17</v>
      </c>
      <c r="M651" t="str">
        <f t="shared" si="20"/>
        <v>Available</v>
      </c>
      <c r="N651">
        <f t="shared" si="21"/>
        <v>32045.600000000002</v>
      </c>
    </row>
    <row r="652" spans="1:14" x14ac:dyDescent="0.3">
      <c r="A652" t="s">
        <v>692</v>
      </c>
      <c r="B652" s="1">
        <v>45667</v>
      </c>
      <c r="C652" t="s">
        <v>26</v>
      </c>
      <c r="D652" t="s">
        <v>31</v>
      </c>
      <c r="E652" t="s">
        <v>40</v>
      </c>
      <c r="F652" t="s">
        <v>29</v>
      </c>
      <c r="G652">
        <v>12</v>
      </c>
      <c r="H652">
        <v>4046</v>
      </c>
      <c r="I652">
        <v>48552</v>
      </c>
      <c r="J652">
        <v>246</v>
      </c>
      <c r="K652">
        <v>5</v>
      </c>
      <c r="L652" t="s">
        <v>22</v>
      </c>
      <c r="M652" t="str">
        <f t="shared" si="20"/>
        <v>Available</v>
      </c>
      <c r="N652">
        <f t="shared" si="21"/>
        <v>9710.4</v>
      </c>
    </row>
    <row r="653" spans="1:14" x14ac:dyDescent="0.3">
      <c r="A653" t="s">
        <v>693</v>
      </c>
      <c r="B653" s="1">
        <v>45670</v>
      </c>
      <c r="C653" t="s">
        <v>26</v>
      </c>
      <c r="D653" t="s">
        <v>27</v>
      </c>
      <c r="E653" t="s">
        <v>34</v>
      </c>
      <c r="F653" t="s">
        <v>16</v>
      </c>
      <c r="G653">
        <v>30</v>
      </c>
      <c r="H653">
        <v>2332</v>
      </c>
      <c r="I653">
        <v>69960</v>
      </c>
      <c r="J653">
        <v>67</v>
      </c>
      <c r="K653">
        <v>4</v>
      </c>
      <c r="L653" t="s">
        <v>22</v>
      </c>
      <c r="M653" t="str">
        <f t="shared" si="20"/>
        <v>Available</v>
      </c>
      <c r="N653">
        <f t="shared" si="21"/>
        <v>13992</v>
      </c>
    </row>
    <row r="654" spans="1:14" x14ac:dyDescent="0.3">
      <c r="A654" t="s">
        <v>694</v>
      </c>
      <c r="B654" s="1">
        <v>45749</v>
      </c>
      <c r="C654" t="s">
        <v>26</v>
      </c>
      <c r="D654" t="s">
        <v>51</v>
      </c>
      <c r="E654" t="s">
        <v>66</v>
      </c>
      <c r="F654" t="s">
        <v>21</v>
      </c>
      <c r="G654">
        <v>34</v>
      </c>
      <c r="H654">
        <v>4320</v>
      </c>
      <c r="I654">
        <v>146880</v>
      </c>
      <c r="J654">
        <v>92</v>
      </c>
      <c r="K654">
        <v>10</v>
      </c>
      <c r="L654" t="s">
        <v>17</v>
      </c>
      <c r="M654" t="str">
        <f t="shared" si="20"/>
        <v>Available</v>
      </c>
      <c r="N654">
        <f t="shared" si="21"/>
        <v>29376</v>
      </c>
    </row>
    <row r="655" spans="1:14" x14ac:dyDescent="0.3">
      <c r="A655" t="s">
        <v>695</v>
      </c>
      <c r="B655" s="1">
        <v>45998</v>
      </c>
      <c r="C655" t="s">
        <v>38</v>
      </c>
      <c r="D655" t="s">
        <v>14</v>
      </c>
      <c r="E655" t="s">
        <v>58</v>
      </c>
      <c r="F655" t="s">
        <v>29</v>
      </c>
      <c r="G655">
        <v>16</v>
      </c>
      <c r="H655">
        <v>2515</v>
      </c>
      <c r="I655">
        <v>40240</v>
      </c>
      <c r="J655">
        <v>50</v>
      </c>
      <c r="K655">
        <v>7</v>
      </c>
      <c r="L655" t="s">
        <v>17</v>
      </c>
      <c r="M655" t="str">
        <f t="shared" si="20"/>
        <v>Available</v>
      </c>
      <c r="N655">
        <f t="shared" si="21"/>
        <v>8048</v>
      </c>
    </row>
    <row r="656" spans="1:14" x14ac:dyDescent="0.3">
      <c r="A656" t="s">
        <v>696</v>
      </c>
      <c r="B656" s="1">
        <v>45697</v>
      </c>
      <c r="C656" t="s">
        <v>19</v>
      </c>
      <c r="D656" t="s">
        <v>31</v>
      </c>
      <c r="E656" t="s">
        <v>40</v>
      </c>
      <c r="F656" t="s">
        <v>29</v>
      </c>
      <c r="G656">
        <v>1</v>
      </c>
      <c r="H656">
        <v>590</v>
      </c>
      <c r="I656">
        <v>590</v>
      </c>
      <c r="J656">
        <v>37</v>
      </c>
      <c r="K656">
        <v>3</v>
      </c>
      <c r="L656" t="s">
        <v>22</v>
      </c>
      <c r="M656" t="str">
        <f t="shared" si="20"/>
        <v>Reorder</v>
      </c>
      <c r="N656">
        <f t="shared" si="21"/>
        <v>118</v>
      </c>
    </row>
    <row r="657" spans="1:14" x14ac:dyDescent="0.3">
      <c r="A657" t="s">
        <v>697</v>
      </c>
      <c r="B657" s="1">
        <v>45935</v>
      </c>
      <c r="C657" t="s">
        <v>38</v>
      </c>
      <c r="D657" t="s">
        <v>14</v>
      </c>
      <c r="E657" t="s">
        <v>42</v>
      </c>
      <c r="F657" t="s">
        <v>21</v>
      </c>
      <c r="G657">
        <v>38</v>
      </c>
      <c r="H657">
        <v>4291</v>
      </c>
      <c r="I657">
        <v>163058</v>
      </c>
      <c r="J657">
        <v>103</v>
      </c>
      <c r="K657">
        <v>3</v>
      </c>
      <c r="L657" t="s">
        <v>22</v>
      </c>
      <c r="M657" t="str">
        <f t="shared" si="20"/>
        <v>Available</v>
      </c>
      <c r="N657">
        <f t="shared" si="21"/>
        <v>32611.600000000002</v>
      </c>
    </row>
    <row r="658" spans="1:14" x14ac:dyDescent="0.3">
      <c r="A658" t="s">
        <v>698</v>
      </c>
      <c r="B658" s="1">
        <v>45982</v>
      </c>
      <c r="C658" t="s">
        <v>19</v>
      </c>
      <c r="D658" t="s">
        <v>51</v>
      </c>
      <c r="E658" t="s">
        <v>56</v>
      </c>
      <c r="F658" t="s">
        <v>16</v>
      </c>
      <c r="G658">
        <v>33</v>
      </c>
      <c r="H658">
        <v>3018</v>
      </c>
      <c r="I658">
        <v>99594</v>
      </c>
      <c r="J658">
        <v>96</v>
      </c>
      <c r="K658">
        <v>8</v>
      </c>
      <c r="L658" t="s">
        <v>17</v>
      </c>
      <c r="M658" t="str">
        <f t="shared" si="20"/>
        <v>Available</v>
      </c>
      <c r="N658">
        <f t="shared" si="21"/>
        <v>19918.800000000003</v>
      </c>
    </row>
    <row r="659" spans="1:14" x14ac:dyDescent="0.3">
      <c r="A659" t="s">
        <v>699</v>
      </c>
      <c r="B659" s="1">
        <v>45980</v>
      </c>
      <c r="C659" t="s">
        <v>13</v>
      </c>
      <c r="D659" t="s">
        <v>51</v>
      </c>
      <c r="E659" t="s">
        <v>90</v>
      </c>
      <c r="F659" t="s">
        <v>21</v>
      </c>
      <c r="G659">
        <v>24</v>
      </c>
      <c r="H659">
        <v>3410</v>
      </c>
      <c r="I659">
        <v>81840</v>
      </c>
      <c r="J659">
        <v>71</v>
      </c>
      <c r="K659">
        <v>2</v>
      </c>
      <c r="L659" t="s">
        <v>22</v>
      </c>
      <c r="M659" t="str">
        <f t="shared" si="20"/>
        <v>Available</v>
      </c>
      <c r="N659">
        <f t="shared" si="21"/>
        <v>16368</v>
      </c>
    </row>
    <row r="660" spans="1:14" x14ac:dyDescent="0.3">
      <c r="A660" t="s">
        <v>700</v>
      </c>
      <c r="B660" s="1">
        <v>45880</v>
      </c>
      <c r="C660" t="s">
        <v>38</v>
      </c>
      <c r="D660" t="s">
        <v>51</v>
      </c>
      <c r="E660" t="s">
        <v>52</v>
      </c>
      <c r="F660" t="s">
        <v>29</v>
      </c>
      <c r="G660">
        <v>15</v>
      </c>
      <c r="H660">
        <v>3684</v>
      </c>
      <c r="I660">
        <v>55260</v>
      </c>
      <c r="J660">
        <v>54</v>
      </c>
      <c r="K660">
        <v>6</v>
      </c>
      <c r="L660" t="s">
        <v>17</v>
      </c>
      <c r="M660" t="str">
        <f t="shared" si="20"/>
        <v>Available</v>
      </c>
      <c r="N660">
        <f t="shared" si="21"/>
        <v>11052</v>
      </c>
    </row>
    <row r="661" spans="1:14" x14ac:dyDescent="0.3">
      <c r="A661" t="s">
        <v>701</v>
      </c>
      <c r="B661" s="1">
        <v>45861</v>
      </c>
      <c r="C661" t="s">
        <v>38</v>
      </c>
      <c r="D661" t="s">
        <v>31</v>
      </c>
      <c r="E661" t="s">
        <v>45</v>
      </c>
      <c r="F661" t="s">
        <v>29</v>
      </c>
      <c r="G661">
        <v>41</v>
      </c>
      <c r="H661">
        <v>3031</v>
      </c>
      <c r="I661">
        <v>124271</v>
      </c>
      <c r="J661">
        <v>135</v>
      </c>
      <c r="K661">
        <v>6</v>
      </c>
      <c r="L661" t="s">
        <v>17</v>
      </c>
      <c r="M661" t="str">
        <f t="shared" si="20"/>
        <v>Available</v>
      </c>
      <c r="N661">
        <f t="shared" si="21"/>
        <v>24854.2</v>
      </c>
    </row>
    <row r="662" spans="1:14" x14ac:dyDescent="0.3">
      <c r="A662" t="s">
        <v>702</v>
      </c>
      <c r="B662" s="1">
        <v>45980</v>
      </c>
      <c r="C662" t="s">
        <v>19</v>
      </c>
      <c r="D662" t="s">
        <v>27</v>
      </c>
      <c r="E662" t="s">
        <v>83</v>
      </c>
      <c r="F662" t="s">
        <v>29</v>
      </c>
      <c r="G662">
        <v>18</v>
      </c>
      <c r="H662">
        <v>4096</v>
      </c>
      <c r="I662">
        <v>73728</v>
      </c>
      <c r="J662">
        <v>86</v>
      </c>
      <c r="K662">
        <v>2</v>
      </c>
      <c r="L662" t="s">
        <v>22</v>
      </c>
      <c r="M662" t="str">
        <f t="shared" si="20"/>
        <v>Available</v>
      </c>
      <c r="N662">
        <f t="shared" si="21"/>
        <v>14745.6</v>
      </c>
    </row>
    <row r="663" spans="1:14" x14ac:dyDescent="0.3">
      <c r="A663" t="s">
        <v>703</v>
      </c>
      <c r="B663" s="1">
        <v>46010</v>
      </c>
      <c r="C663" t="s">
        <v>38</v>
      </c>
      <c r="D663" t="s">
        <v>51</v>
      </c>
      <c r="E663" t="s">
        <v>66</v>
      </c>
      <c r="F663" t="s">
        <v>24</v>
      </c>
      <c r="G663">
        <v>20</v>
      </c>
      <c r="H663">
        <v>2813</v>
      </c>
      <c r="I663">
        <v>56260</v>
      </c>
      <c r="J663">
        <v>93</v>
      </c>
      <c r="K663">
        <v>10</v>
      </c>
      <c r="L663" t="s">
        <v>17</v>
      </c>
      <c r="M663" t="str">
        <f t="shared" si="20"/>
        <v>Available</v>
      </c>
      <c r="N663">
        <f t="shared" si="21"/>
        <v>11252</v>
      </c>
    </row>
    <row r="664" spans="1:14" x14ac:dyDescent="0.3">
      <c r="A664" t="s">
        <v>704</v>
      </c>
      <c r="B664" s="1">
        <v>46008</v>
      </c>
      <c r="C664" t="s">
        <v>38</v>
      </c>
      <c r="D664" t="s">
        <v>51</v>
      </c>
      <c r="E664" t="s">
        <v>56</v>
      </c>
      <c r="F664" t="s">
        <v>29</v>
      </c>
      <c r="G664">
        <v>28</v>
      </c>
      <c r="H664">
        <v>1396</v>
      </c>
      <c r="I664">
        <v>39088</v>
      </c>
      <c r="J664">
        <v>138</v>
      </c>
      <c r="K664">
        <v>10</v>
      </c>
      <c r="L664" t="s">
        <v>17</v>
      </c>
      <c r="M664" t="str">
        <f t="shared" si="20"/>
        <v>Available</v>
      </c>
      <c r="N664">
        <f t="shared" si="21"/>
        <v>7817.6</v>
      </c>
    </row>
    <row r="665" spans="1:14" x14ac:dyDescent="0.3">
      <c r="A665" t="s">
        <v>705</v>
      </c>
      <c r="B665" s="1">
        <v>45958</v>
      </c>
      <c r="C665" t="s">
        <v>13</v>
      </c>
      <c r="D665" t="s">
        <v>31</v>
      </c>
      <c r="E665" t="s">
        <v>32</v>
      </c>
      <c r="F665" t="s">
        <v>16</v>
      </c>
      <c r="G665">
        <v>21</v>
      </c>
      <c r="H665">
        <v>4340</v>
      </c>
      <c r="I665">
        <v>91140</v>
      </c>
      <c r="J665">
        <v>140</v>
      </c>
      <c r="K665">
        <v>8</v>
      </c>
      <c r="L665" t="s">
        <v>17</v>
      </c>
      <c r="M665" t="str">
        <f t="shared" si="20"/>
        <v>Available</v>
      </c>
      <c r="N665">
        <f t="shared" si="21"/>
        <v>18228</v>
      </c>
    </row>
    <row r="666" spans="1:14" x14ac:dyDescent="0.3">
      <c r="A666" t="s">
        <v>706</v>
      </c>
      <c r="B666" s="1">
        <v>45747</v>
      </c>
      <c r="C666" t="s">
        <v>19</v>
      </c>
      <c r="D666" t="s">
        <v>27</v>
      </c>
      <c r="E666" t="s">
        <v>28</v>
      </c>
      <c r="F666" t="s">
        <v>29</v>
      </c>
      <c r="G666">
        <v>35</v>
      </c>
      <c r="H666">
        <v>1818</v>
      </c>
      <c r="I666">
        <v>63630</v>
      </c>
      <c r="J666">
        <v>82</v>
      </c>
      <c r="K666">
        <v>4</v>
      </c>
      <c r="L666" t="s">
        <v>22</v>
      </c>
      <c r="M666" t="str">
        <f t="shared" si="20"/>
        <v>Available</v>
      </c>
      <c r="N666">
        <f t="shared" si="21"/>
        <v>12726</v>
      </c>
    </row>
    <row r="667" spans="1:14" x14ac:dyDescent="0.3">
      <c r="A667" t="s">
        <v>707</v>
      </c>
      <c r="B667" s="1">
        <v>45920</v>
      </c>
      <c r="C667" t="s">
        <v>19</v>
      </c>
      <c r="D667" t="s">
        <v>27</v>
      </c>
      <c r="E667" t="s">
        <v>28</v>
      </c>
      <c r="F667" t="s">
        <v>16</v>
      </c>
      <c r="G667">
        <v>44</v>
      </c>
      <c r="H667">
        <v>1922</v>
      </c>
      <c r="I667">
        <v>84568</v>
      </c>
      <c r="J667">
        <v>181</v>
      </c>
      <c r="K667">
        <v>8</v>
      </c>
      <c r="L667" t="s">
        <v>17</v>
      </c>
      <c r="M667" t="str">
        <f t="shared" si="20"/>
        <v>Available</v>
      </c>
      <c r="N667">
        <f t="shared" si="21"/>
        <v>16913.600000000002</v>
      </c>
    </row>
    <row r="668" spans="1:14" x14ac:dyDescent="0.3">
      <c r="A668" t="s">
        <v>708</v>
      </c>
      <c r="B668" s="1">
        <v>45911</v>
      </c>
      <c r="C668" t="s">
        <v>38</v>
      </c>
      <c r="D668" t="s">
        <v>27</v>
      </c>
      <c r="E668" t="s">
        <v>83</v>
      </c>
      <c r="F668" t="s">
        <v>21</v>
      </c>
      <c r="G668">
        <v>22</v>
      </c>
      <c r="H668">
        <v>2514</v>
      </c>
      <c r="I668">
        <v>55308</v>
      </c>
      <c r="J668">
        <v>91</v>
      </c>
      <c r="K668">
        <v>7</v>
      </c>
      <c r="L668" t="s">
        <v>17</v>
      </c>
      <c r="M668" t="str">
        <f t="shared" si="20"/>
        <v>Available</v>
      </c>
      <c r="N668">
        <f t="shared" si="21"/>
        <v>11061.6</v>
      </c>
    </row>
    <row r="669" spans="1:14" x14ac:dyDescent="0.3">
      <c r="A669" t="s">
        <v>709</v>
      </c>
      <c r="B669" s="1">
        <v>45766</v>
      </c>
      <c r="C669" t="s">
        <v>38</v>
      </c>
      <c r="D669" t="s">
        <v>27</v>
      </c>
      <c r="E669" t="s">
        <v>34</v>
      </c>
      <c r="F669" t="s">
        <v>24</v>
      </c>
      <c r="G669">
        <v>26</v>
      </c>
      <c r="H669">
        <v>2728</v>
      </c>
      <c r="I669">
        <v>70928</v>
      </c>
      <c r="J669">
        <v>96</v>
      </c>
      <c r="K669">
        <v>6</v>
      </c>
      <c r="L669" t="s">
        <v>17</v>
      </c>
      <c r="M669" t="str">
        <f t="shared" si="20"/>
        <v>Available</v>
      </c>
      <c r="N669">
        <f t="shared" si="21"/>
        <v>14185.6</v>
      </c>
    </row>
    <row r="670" spans="1:14" x14ac:dyDescent="0.3">
      <c r="A670" t="s">
        <v>710</v>
      </c>
      <c r="B670" s="1">
        <v>45745</v>
      </c>
      <c r="C670" t="s">
        <v>38</v>
      </c>
      <c r="D670" t="s">
        <v>14</v>
      </c>
      <c r="E670" t="s">
        <v>42</v>
      </c>
      <c r="F670" t="s">
        <v>24</v>
      </c>
      <c r="G670">
        <v>37</v>
      </c>
      <c r="H670">
        <v>3486</v>
      </c>
      <c r="I670">
        <v>128982</v>
      </c>
      <c r="J670">
        <v>60</v>
      </c>
      <c r="K670">
        <v>2</v>
      </c>
      <c r="L670" t="s">
        <v>22</v>
      </c>
      <c r="M670" t="str">
        <f t="shared" si="20"/>
        <v>Available</v>
      </c>
      <c r="N670">
        <f t="shared" si="21"/>
        <v>25796.400000000001</v>
      </c>
    </row>
    <row r="671" spans="1:14" x14ac:dyDescent="0.3">
      <c r="A671" t="s">
        <v>711</v>
      </c>
      <c r="B671" s="1">
        <v>45768</v>
      </c>
      <c r="C671" t="s">
        <v>38</v>
      </c>
      <c r="D671" t="s">
        <v>27</v>
      </c>
      <c r="E671" t="s">
        <v>64</v>
      </c>
      <c r="F671" t="s">
        <v>29</v>
      </c>
      <c r="G671">
        <v>1</v>
      </c>
      <c r="H671">
        <v>3325</v>
      </c>
      <c r="I671">
        <v>3325</v>
      </c>
      <c r="J671">
        <v>73</v>
      </c>
      <c r="K671">
        <v>10</v>
      </c>
      <c r="L671" t="s">
        <v>17</v>
      </c>
      <c r="M671" t="str">
        <f t="shared" si="20"/>
        <v>Available</v>
      </c>
      <c r="N671">
        <f t="shared" si="21"/>
        <v>665</v>
      </c>
    </row>
    <row r="672" spans="1:14" x14ac:dyDescent="0.3">
      <c r="A672" t="s">
        <v>712</v>
      </c>
      <c r="B672" s="1">
        <v>45840</v>
      </c>
      <c r="C672" t="s">
        <v>13</v>
      </c>
      <c r="D672" t="s">
        <v>14</v>
      </c>
      <c r="E672" t="s">
        <v>42</v>
      </c>
      <c r="F672" t="s">
        <v>16</v>
      </c>
      <c r="G672">
        <v>42</v>
      </c>
      <c r="H672">
        <v>1882</v>
      </c>
      <c r="I672">
        <v>79044</v>
      </c>
      <c r="J672">
        <v>192</v>
      </c>
      <c r="K672">
        <v>5</v>
      </c>
      <c r="L672" t="s">
        <v>22</v>
      </c>
      <c r="M672" t="str">
        <f t="shared" si="20"/>
        <v>Available</v>
      </c>
      <c r="N672">
        <f t="shared" si="21"/>
        <v>15808.800000000001</v>
      </c>
    </row>
    <row r="673" spans="1:14" x14ac:dyDescent="0.3">
      <c r="A673" t="s">
        <v>713</v>
      </c>
      <c r="B673" s="1">
        <v>45669</v>
      </c>
      <c r="C673" t="s">
        <v>26</v>
      </c>
      <c r="D673" t="s">
        <v>51</v>
      </c>
      <c r="E673" t="s">
        <v>52</v>
      </c>
      <c r="F673" t="s">
        <v>21</v>
      </c>
      <c r="G673">
        <v>6</v>
      </c>
      <c r="H673">
        <v>1634</v>
      </c>
      <c r="I673">
        <v>9804</v>
      </c>
      <c r="J673">
        <v>15</v>
      </c>
      <c r="K673">
        <v>4</v>
      </c>
      <c r="L673" t="s">
        <v>22</v>
      </c>
      <c r="M673" t="str">
        <f t="shared" si="20"/>
        <v>Reorder</v>
      </c>
      <c r="N673">
        <f t="shared" si="21"/>
        <v>1960.8000000000002</v>
      </c>
    </row>
    <row r="674" spans="1:14" x14ac:dyDescent="0.3">
      <c r="A674" t="s">
        <v>714</v>
      </c>
      <c r="B674" s="1">
        <v>46007</v>
      </c>
      <c r="C674" t="s">
        <v>13</v>
      </c>
      <c r="D674" t="s">
        <v>51</v>
      </c>
      <c r="E674" t="s">
        <v>56</v>
      </c>
      <c r="F674" t="s">
        <v>24</v>
      </c>
      <c r="G674">
        <v>7</v>
      </c>
      <c r="H674">
        <v>3392</v>
      </c>
      <c r="I674">
        <v>23744</v>
      </c>
      <c r="J674">
        <v>156</v>
      </c>
      <c r="K674">
        <v>10</v>
      </c>
      <c r="L674" t="s">
        <v>17</v>
      </c>
      <c r="M674" t="str">
        <f t="shared" si="20"/>
        <v>Available</v>
      </c>
      <c r="N674">
        <f t="shared" si="21"/>
        <v>4748.8</v>
      </c>
    </row>
    <row r="675" spans="1:14" x14ac:dyDescent="0.3">
      <c r="A675" t="s">
        <v>715</v>
      </c>
      <c r="B675" s="1">
        <v>45760</v>
      </c>
      <c r="C675" t="s">
        <v>13</v>
      </c>
      <c r="D675" t="s">
        <v>31</v>
      </c>
      <c r="E675" t="s">
        <v>45</v>
      </c>
      <c r="F675" t="s">
        <v>21</v>
      </c>
      <c r="G675">
        <v>9</v>
      </c>
      <c r="H675">
        <v>656</v>
      </c>
      <c r="I675">
        <v>5904</v>
      </c>
      <c r="J675">
        <v>267</v>
      </c>
      <c r="K675">
        <v>10</v>
      </c>
      <c r="L675" t="s">
        <v>17</v>
      </c>
      <c r="M675" t="str">
        <f t="shared" si="20"/>
        <v>Available</v>
      </c>
      <c r="N675">
        <f t="shared" si="21"/>
        <v>1180.8</v>
      </c>
    </row>
    <row r="676" spans="1:14" x14ac:dyDescent="0.3">
      <c r="A676" t="s">
        <v>716</v>
      </c>
      <c r="B676" s="1">
        <v>46019</v>
      </c>
      <c r="C676" t="s">
        <v>13</v>
      </c>
      <c r="D676" t="s">
        <v>14</v>
      </c>
      <c r="E676" t="s">
        <v>58</v>
      </c>
      <c r="F676" t="s">
        <v>29</v>
      </c>
      <c r="G676">
        <v>29</v>
      </c>
      <c r="H676">
        <v>575</v>
      </c>
      <c r="I676">
        <v>16675</v>
      </c>
      <c r="J676">
        <v>161</v>
      </c>
      <c r="K676">
        <v>6</v>
      </c>
      <c r="L676" t="s">
        <v>17</v>
      </c>
      <c r="M676" t="str">
        <f t="shared" si="20"/>
        <v>Available</v>
      </c>
      <c r="N676">
        <f t="shared" si="21"/>
        <v>3335</v>
      </c>
    </row>
    <row r="677" spans="1:14" x14ac:dyDescent="0.3">
      <c r="A677" t="s">
        <v>717</v>
      </c>
      <c r="B677" s="1">
        <v>45791</v>
      </c>
      <c r="C677" t="s">
        <v>38</v>
      </c>
      <c r="D677" t="s">
        <v>27</v>
      </c>
      <c r="E677" t="s">
        <v>28</v>
      </c>
      <c r="F677" t="s">
        <v>16</v>
      </c>
      <c r="G677">
        <v>2</v>
      </c>
      <c r="H677">
        <v>2255</v>
      </c>
      <c r="I677">
        <v>4510</v>
      </c>
      <c r="J677">
        <v>63</v>
      </c>
      <c r="K677">
        <v>3</v>
      </c>
      <c r="L677" t="s">
        <v>22</v>
      </c>
      <c r="M677" t="str">
        <f t="shared" si="20"/>
        <v>Available</v>
      </c>
      <c r="N677">
        <f t="shared" si="21"/>
        <v>902</v>
      </c>
    </row>
    <row r="678" spans="1:14" x14ac:dyDescent="0.3">
      <c r="A678" t="s">
        <v>718</v>
      </c>
      <c r="B678" s="1">
        <v>45704</v>
      </c>
      <c r="C678" t="s">
        <v>38</v>
      </c>
      <c r="D678" t="s">
        <v>31</v>
      </c>
      <c r="E678" t="s">
        <v>45</v>
      </c>
      <c r="F678" t="s">
        <v>29</v>
      </c>
      <c r="G678">
        <v>34</v>
      </c>
      <c r="H678">
        <v>1949</v>
      </c>
      <c r="I678">
        <v>66266</v>
      </c>
      <c r="J678">
        <v>144</v>
      </c>
      <c r="K678">
        <v>9</v>
      </c>
      <c r="L678" t="s">
        <v>17</v>
      </c>
      <c r="M678" t="str">
        <f t="shared" si="20"/>
        <v>Available</v>
      </c>
      <c r="N678">
        <f t="shared" si="21"/>
        <v>13253.2</v>
      </c>
    </row>
    <row r="679" spans="1:14" x14ac:dyDescent="0.3">
      <c r="A679" t="s">
        <v>719</v>
      </c>
      <c r="B679" s="1">
        <v>45921</v>
      </c>
      <c r="C679" t="s">
        <v>19</v>
      </c>
      <c r="D679" t="s">
        <v>51</v>
      </c>
      <c r="E679" t="s">
        <v>66</v>
      </c>
      <c r="F679" t="s">
        <v>16</v>
      </c>
      <c r="G679">
        <v>34</v>
      </c>
      <c r="H679">
        <v>1762</v>
      </c>
      <c r="I679">
        <v>59908</v>
      </c>
      <c r="J679">
        <v>188</v>
      </c>
      <c r="K679">
        <v>9</v>
      </c>
      <c r="L679" t="s">
        <v>17</v>
      </c>
      <c r="M679" t="str">
        <f t="shared" si="20"/>
        <v>Available</v>
      </c>
      <c r="N679">
        <f t="shared" si="21"/>
        <v>11981.6</v>
      </c>
    </row>
    <row r="680" spans="1:14" x14ac:dyDescent="0.3">
      <c r="A680" t="s">
        <v>720</v>
      </c>
      <c r="B680" s="1">
        <v>45799</v>
      </c>
      <c r="C680" t="s">
        <v>19</v>
      </c>
      <c r="D680" t="s">
        <v>27</v>
      </c>
      <c r="E680" t="s">
        <v>64</v>
      </c>
      <c r="F680" t="s">
        <v>24</v>
      </c>
      <c r="G680">
        <v>24</v>
      </c>
      <c r="H680">
        <v>1779</v>
      </c>
      <c r="I680">
        <v>42696</v>
      </c>
      <c r="J680">
        <v>186</v>
      </c>
      <c r="K680">
        <v>8</v>
      </c>
      <c r="L680" t="s">
        <v>17</v>
      </c>
      <c r="M680" t="str">
        <f t="shared" si="20"/>
        <v>Available</v>
      </c>
      <c r="N680">
        <f t="shared" si="21"/>
        <v>8539.2000000000007</v>
      </c>
    </row>
    <row r="681" spans="1:14" x14ac:dyDescent="0.3">
      <c r="A681" t="s">
        <v>721</v>
      </c>
      <c r="B681" s="1">
        <v>45963</v>
      </c>
      <c r="C681" t="s">
        <v>38</v>
      </c>
      <c r="D681" t="s">
        <v>27</v>
      </c>
      <c r="E681" t="s">
        <v>28</v>
      </c>
      <c r="F681" t="s">
        <v>21</v>
      </c>
      <c r="G681">
        <v>26</v>
      </c>
      <c r="H681">
        <v>2593</v>
      </c>
      <c r="I681">
        <v>67418</v>
      </c>
      <c r="J681">
        <v>117</v>
      </c>
      <c r="K681">
        <v>4</v>
      </c>
      <c r="L681" t="s">
        <v>22</v>
      </c>
      <c r="M681" t="str">
        <f t="shared" si="20"/>
        <v>Available</v>
      </c>
      <c r="N681">
        <f t="shared" si="21"/>
        <v>13483.6</v>
      </c>
    </row>
    <row r="682" spans="1:14" x14ac:dyDescent="0.3">
      <c r="A682" t="s">
        <v>722</v>
      </c>
      <c r="B682" s="1">
        <v>45812</v>
      </c>
      <c r="C682" t="s">
        <v>13</v>
      </c>
      <c r="D682" t="s">
        <v>31</v>
      </c>
      <c r="E682" t="s">
        <v>45</v>
      </c>
      <c r="F682" t="s">
        <v>24</v>
      </c>
      <c r="G682">
        <v>16</v>
      </c>
      <c r="H682">
        <v>4548</v>
      </c>
      <c r="I682">
        <v>72768</v>
      </c>
      <c r="J682">
        <v>221</v>
      </c>
      <c r="K682">
        <v>5</v>
      </c>
      <c r="L682" t="s">
        <v>22</v>
      </c>
      <c r="M682" t="str">
        <f t="shared" si="20"/>
        <v>Available</v>
      </c>
      <c r="N682">
        <f t="shared" si="21"/>
        <v>14553.6</v>
      </c>
    </row>
    <row r="683" spans="1:14" x14ac:dyDescent="0.3">
      <c r="A683" t="s">
        <v>723</v>
      </c>
      <c r="B683" s="1">
        <v>45794</v>
      </c>
      <c r="C683" t="s">
        <v>26</v>
      </c>
      <c r="D683" t="s">
        <v>27</v>
      </c>
      <c r="E683" t="s">
        <v>83</v>
      </c>
      <c r="F683" t="s">
        <v>16</v>
      </c>
      <c r="G683">
        <v>16</v>
      </c>
      <c r="H683">
        <v>4429</v>
      </c>
      <c r="I683">
        <v>70864</v>
      </c>
      <c r="J683">
        <v>33</v>
      </c>
      <c r="K683">
        <v>3</v>
      </c>
      <c r="L683" t="s">
        <v>22</v>
      </c>
      <c r="M683" t="str">
        <f t="shared" si="20"/>
        <v>Reorder</v>
      </c>
      <c r="N683">
        <f t="shared" si="21"/>
        <v>14172.800000000001</v>
      </c>
    </row>
    <row r="684" spans="1:14" x14ac:dyDescent="0.3">
      <c r="A684" t="s">
        <v>724</v>
      </c>
      <c r="B684" s="1">
        <v>45693</v>
      </c>
      <c r="C684" t="s">
        <v>13</v>
      </c>
      <c r="D684" t="s">
        <v>27</v>
      </c>
      <c r="E684" t="s">
        <v>83</v>
      </c>
      <c r="F684" t="s">
        <v>24</v>
      </c>
      <c r="G684">
        <v>25</v>
      </c>
      <c r="H684">
        <v>3123</v>
      </c>
      <c r="I684">
        <v>78075</v>
      </c>
      <c r="J684">
        <v>202</v>
      </c>
      <c r="K684">
        <v>3</v>
      </c>
      <c r="L684" t="s">
        <v>22</v>
      </c>
      <c r="M684" t="str">
        <f t="shared" si="20"/>
        <v>Available</v>
      </c>
      <c r="N684">
        <f t="shared" si="21"/>
        <v>15615</v>
      </c>
    </row>
    <row r="685" spans="1:14" x14ac:dyDescent="0.3">
      <c r="A685" t="s">
        <v>725</v>
      </c>
      <c r="B685" s="1">
        <v>46002</v>
      </c>
      <c r="C685" t="s">
        <v>26</v>
      </c>
      <c r="D685" t="s">
        <v>14</v>
      </c>
      <c r="E685" t="s">
        <v>15</v>
      </c>
      <c r="F685" t="s">
        <v>29</v>
      </c>
      <c r="G685">
        <v>48</v>
      </c>
      <c r="H685">
        <v>1889</v>
      </c>
      <c r="I685">
        <v>90672</v>
      </c>
      <c r="J685">
        <v>100</v>
      </c>
      <c r="K685">
        <v>7</v>
      </c>
      <c r="L685" t="s">
        <v>17</v>
      </c>
      <c r="M685" t="str">
        <f t="shared" si="20"/>
        <v>Available</v>
      </c>
      <c r="N685">
        <f t="shared" si="21"/>
        <v>18134.400000000001</v>
      </c>
    </row>
    <row r="686" spans="1:14" x14ac:dyDescent="0.3">
      <c r="A686" t="s">
        <v>726</v>
      </c>
      <c r="B686" s="1">
        <v>45662</v>
      </c>
      <c r="C686" t="s">
        <v>26</v>
      </c>
      <c r="D686" t="s">
        <v>27</v>
      </c>
      <c r="E686" t="s">
        <v>64</v>
      </c>
      <c r="F686" t="s">
        <v>24</v>
      </c>
      <c r="G686">
        <v>17</v>
      </c>
      <c r="H686">
        <v>3974</v>
      </c>
      <c r="I686">
        <v>67558</v>
      </c>
      <c r="J686">
        <v>175</v>
      </c>
      <c r="K686">
        <v>8</v>
      </c>
      <c r="L686" t="s">
        <v>17</v>
      </c>
      <c r="M686" t="str">
        <f t="shared" si="20"/>
        <v>Available</v>
      </c>
      <c r="N686">
        <f t="shared" si="21"/>
        <v>13511.6</v>
      </c>
    </row>
    <row r="687" spans="1:14" x14ac:dyDescent="0.3">
      <c r="A687" t="s">
        <v>727</v>
      </c>
      <c r="B687" s="1">
        <v>45846</v>
      </c>
      <c r="C687" t="s">
        <v>13</v>
      </c>
      <c r="D687" t="s">
        <v>14</v>
      </c>
      <c r="E687" t="s">
        <v>15</v>
      </c>
      <c r="F687" t="s">
        <v>29</v>
      </c>
      <c r="G687">
        <v>22</v>
      </c>
      <c r="H687">
        <v>3747</v>
      </c>
      <c r="I687">
        <v>82434</v>
      </c>
      <c r="J687">
        <v>115</v>
      </c>
      <c r="K687">
        <v>6</v>
      </c>
      <c r="L687" t="s">
        <v>17</v>
      </c>
      <c r="M687" t="str">
        <f t="shared" si="20"/>
        <v>Available</v>
      </c>
      <c r="N687">
        <f t="shared" si="21"/>
        <v>16486.8</v>
      </c>
    </row>
    <row r="688" spans="1:14" x14ac:dyDescent="0.3">
      <c r="A688" t="s">
        <v>728</v>
      </c>
      <c r="B688" s="1">
        <v>45665</v>
      </c>
      <c r="C688" t="s">
        <v>13</v>
      </c>
      <c r="D688" t="s">
        <v>14</v>
      </c>
      <c r="E688" t="s">
        <v>58</v>
      </c>
      <c r="F688" t="s">
        <v>16</v>
      </c>
      <c r="G688">
        <v>26</v>
      </c>
      <c r="H688">
        <v>1944</v>
      </c>
      <c r="I688">
        <v>50544</v>
      </c>
      <c r="J688">
        <v>17</v>
      </c>
      <c r="K688">
        <v>3</v>
      </c>
      <c r="L688" t="s">
        <v>22</v>
      </c>
      <c r="M688" t="str">
        <f t="shared" si="20"/>
        <v>Reorder</v>
      </c>
      <c r="N688">
        <f t="shared" si="21"/>
        <v>10108.800000000001</v>
      </c>
    </row>
    <row r="689" spans="1:14" x14ac:dyDescent="0.3">
      <c r="A689" t="s">
        <v>729</v>
      </c>
      <c r="B689" s="1">
        <v>45710</v>
      </c>
      <c r="C689" t="s">
        <v>13</v>
      </c>
      <c r="D689" t="s">
        <v>51</v>
      </c>
      <c r="E689" t="s">
        <v>56</v>
      </c>
      <c r="F689" t="s">
        <v>24</v>
      </c>
      <c r="G689">
        <v>33</v>
      </c>
      <c r="H689">
        <v>2087</v>
      </c>
      <c r="I689">
        <v>68871</v>
      </c>
      <c r="J689">
        <v>188</v>
      </c>
      <c r="K689">
        <v>9</v>
      </c>
      <c r="L689" t="s">
        <v>17</v>
      </c>
      <c r="M689" t="str">
        <f t="shared" si="20"/>
        <v>Available</v>
      </c>
      <c r="N689">
        <f t="shared" si="21"/>
        <v>13774.2</v>
      </c>
    </row>
    <row r="690" spans="1:14" x14ac:dyDescent="0.3">
      <c r="A690" t="s">
        <v>730</v>
      </c>
      <c r="B690" s="1">
        <v>46012</v>
      </c>
      <c r="C690" t="s">
        <v>38</v>
      </c>
      <c r="D690" t="s">
        <v>27</v>
      </c>
      <c r="E690" t="s">
        <v>64</v>
      </c>
      <c r="F690" t="s">
        <v>24</v>
      </c>
      <c r="G690">
        <v>41</v>
      </c>
      <c r="H690">
        <v>1639</v>
      </c>
      <c r="I690">
        <v>67199</v>
      </c>
      <c r="J690">
        <v>249</v>
      </c>
      <c r="K690">
        <v>2</v>
      </c>
      <c r="L690" t="s">
        <v>22</v>
      </c>
      <c r="M690" t="str">
        <f t="shared" si="20"/>
        <v>Available</v>
      </c>
      <c r="N690">
        <f t="shared" si="21"/>
        <v>13439.800000000001</v>
      </c>
    </row>
    <row r="691" spans="1:14" x14ac:dyDescent="0.3">
      <c r="A691" t="s">
        <v>731</v>
      </c>
      <c r="B691" s="1">
        <v>45677</v>
      </c>
      <c r="C691" t="s">
        <v>26</v>
      </c>
      <c r="D691" t="s">
        <v>51</v>
      </c>
      <c r="E691" t="s">
        <v>66</v>
      </c>
      <c r="F691" t="s">
        <v>29</v>
      </c>
      <c r="G691">
        <v>45</v>
      </c>
      <c r="H691">
        <v>2192</v>
      </c>
      <c r="I691">
        <v>98640</v>
      </c>
      <c r="J691">
        <v>23</v>
      </c>
      <c r="K691">
        <v>7</v>
      </c>
      <c r="L691" t="s">
        <v>17</v>
      </c>
      <c r="M691" t="str">
        <f t="shared" si="20"/>
        <v>Reorder</v>
      </c>
      <c r="N691">
        <f t="shared" si="21"/>
        <v>19728</v>
      </c>
    </row>
    <row r="692" spans="1:14" x14ac:dyDescent="0.3">
      <c r="A692" t="s">
        <v>732</v>
      </c>
      <c r="B692" s="1">
        <v>45755</v>
      </c>
      <c r="C692" t="s">
        <v>13</v>
      </c>
      <c r="D692" t="s">
        <v>27</v>
      </c>
      <c r="E692" t="s">
        <v>64</v>
      </c>
      <c r="F692" t="s">
        <v>29</v>
      </c>
      <c r="G692">
        <v>45</v>
      </c>
      <c r="H692">
        <v>4629</v>
      </c>
      <c r="I692">
        <v>208305</v>
      </c>
      <c r="J692">
        <v>264</v>
      </c>
      <c r="K692">
        <v>3</v>
      </c>
      <c r="L692" t="s">
        <v>22</v>
      </c>
      <c r="M692" t="str">
        <f t="shared" si="20"/>
        <v>Available</v>
      </c>
      <c r="N692">
        <f t="shared" si="21"/>
        <v>41661</v>
      </c>
    </row>
    <row r="693" spans="1:14" x14ac:dyDescent="0.3">
      <c r="A693" t="s">
        <v>733</v>
      </c>
      <c r="B693" s="1">
        <v>45903</v>
      </c>
      <c r="C693" t="s">
        <v>19</v>
      </c>
      <c r="D693" t="s">
        <v>51</v>
      </c>
      <c r="E693" t="s">
        <v>66</v>
      </c>
      <c r="F693" t="s">
        <v>16</v>
      </c>
      <c r="G693">
        <v>7</v>
      </c>
      <c r="H693">
        <v>4316</v>
      </c>
      <c r="I693">
        <v>30212</v>
      </c>
      <c r="J693">
        <v>143</v>
      </c>
      <c r="K693">
        <v>2</v>
      </c>
      <c r="L693" t="s">
        <v>22</v>
      </c>
      <c r="M693" t="str">
        <f t="shared" si="20"/>
        <v>Available</v>
      </c>
      <c r="N693">
        <f t="shared" si="21"/>
        <v>6042.4000000000005</v>
      </c>
    </row>
    <row r="694" spans="1:14" x14ac:dyDescent="0.3">
      <c r="A694" t="s">
        <v>734</v>
      </c>
      <c r="B694" s="1">
        <v>45711</v>
      </c>
      <c r="C694" t="s">
        <v>13</v>
      </c>
      <c r="D694" t="s">
        <v>27</v>
      </c>
      <c r="E694" t="s">
        <v>34</v>
      </c>
      <c r="F694" t="s">
        <v>24</v>
      </c>
      <c r="G694">
        <v>41</v>
      </c>
      <c r="H694">
        <v>1131</v>
      </c>
      <c r="I694">
        <v>46371</v>
      </c>
      <c r="J694">
        <v>173</v>
      </c>
      <c r="K694">
        <v>6</v>
      </c>
      <c r="L694" t="s">
        <v>17</v>
      </c>
      <c r="M694" t="str">
        <f t="shared" si="20"/>
        <v>Available</v>
      </c>
      <c r="N694">
        <f t="shared" si="21"/>
        <v>9274.2000000000007</v>
      </c>
    </row>
    <row r="695" spans="1:14" x14ac:dyDescent="0.3">
      <c r="A695" t="s">
        <v>735</v>
      </c>
      <c r="B695" s="1">
        <v>45684</v>
      </c>
      <c r="C695" t="s">
        <v>13</v>
      </c>
      <c r="D695" t="s">
        <v>31</v>
      </c>
      <c r="E695" t="s">
        <v>76</v>
      </c>
      <c r="F695" t="s">
        <v>24</v>
      </c>
      <c r="G695">
        <v>46</v>
      </c>
      <c r="H695">
        <v>1598</v>
      </c>
      <c r="I695">
        <v>73508</v>
      </c>
      <c r="J695">
        <v>80</v>
      </c>
      <c r="K695">
        <v>10</v>
      </c>
      <c r="L695" t="s">
        <v>17</v>
      </c>
      <c r="M695" t="str">
        <f t="shared" si="20"/>
        <v>Available</v>
      </c>
      <c r="N695">
        <f t="shared" si="21"/>
        <v>14701.6</v>
      </c>
    </row>
    <row r="696" spans="1:14" x14ac:dyDescent="0.3">
      <c r="A696" t="s">
        <v>736</v>
      </c>
      <c r="B696" s="1">
        <v>45763</v>
      </c>
      <c r="C696" t="s">
        <v>19</v>
      </c>
      <c r="D696" t="s">
        <v>14</v>
      </c>
      <c r="E696" t="s">
        <v>58</v>
      </c>
      <c r="F696" t="s">
        <v>24</v>
      </c>
      <c r="G696">
        <v>36</v>
      </c>
      <c r="H696">
        <v>1243</v>
      </c>
      <c r="I696">
        <v>44748</v>
      </c>
      <c r="J696">
        <v>220</v>
      </c>
      <c r="K696">
        <v>9</v>
      </c>
      <c r="L696" t="s">
        <v>17</v>
      </c>
      <c r="M696" t="str">
        <f t="shared" si="20"/>
        <v>Available</v>
      </c>
      <c r="N696">
        <f t="shared" si="21"/>
        <v>8949.6</v>
      </c>
    </row>
    <row r="697" spans="1:14" x14ac:dyDescent="0.3">
      <c r="A697" t="s">
        <v>737</v>
      </c>
      <c r="B697" s="1">
        <v>45871</v>
      </c>
      <c r="C697" t="s">
        <v>13</v>
      </c>
      <c r="D697" t="s">
        <v>14</v>
      </c>
      <c r="E697" t="s">
        <v>15</v>
      </c>
      <c r="F697" t="s">
        <v>21</v>
      </c>
      <c r="G697">
        <v>32</v>
      </c>
      <c r="H697">
        <v>4385</v>
      </c>
      <c r="I697">
        <v>140320</v>
      </c>
      <c r="J697">
        <v>137</v>
      </c>
      <c r="K697">
        <v>7</v>
      </c>
      <c r="L697" t="s">
        <v>17</v>
      </c>
      <c r="M697" t="str">
        <f t="shared" si="20"/>
        <v>Available</v>
      </c>
      <c r="N697">
        <f t="shared" si="21"/>
        <v>28064</v>
      </c>
    </row>
    <row r="698" spans="1:14" x14ac:dyDescent="0.3">
      <c r="A698" t="s">
        <v>738</v>
      </c>
      <c r="B698" s="1">
        <v>45747</v>
      </c>
      <c r="C698" t="s">
        <v>26</v>
      </c>
      <c r="D698" t="s">
        <v>51</v>
      </c>
      <c r="E698" t="s">
        <v>56</v>
      </c>
      <c r="F698" t="s">
        <v>21</v>
      </c>
      <c r="G698">
        <v>4</v>
      </c>
      <c r="H698">
        <v>4920</v>
      </c>
      <c r="I698">
        <v>19680</v>
      </c>
      <c r="J698">
        <v>39</v>
      </c>
      <c r="K698">
        <v>9</v>
      </c>
      <c r="L698" t="s">
        <v>17</v>
      </c>
      <c r="M698" t="str">
        <f t="shared" si="20"/>
        <v>Reorder</v>
      </c>
      <c r="N698">
        <f t="shared" si="21"/>
        <v>3936</v>
      </c>
    </row>
    <row r="699" spans="1:14" x14ac:dyDescent="0.3">
      <c r="A699" t="s">
        <v>739</v>
      </c>
      <c r="B699" s="1">
        <v>45896</v>
      </c>
      <c r="C699" t="s">
        <v>26</v>
      </c>
      <c r="D699" t="s">
        <v>51</v>
      </c>
      <c r="E699" t="s">
        <v>56</v>
      </c>
      <c r="F699" t="s">
        <v>16</v>
      </c>
      <c r="G699">
        <v>22</v>
      </c>
      <c r="H699">
        <v>2538</v>
      </c>
      <c r="I699">
        <v>55836</v>
      </c>
      <c r="J699">
        <v>152</v>
      </c>
      <c r="K699">
        <v>2</v>
      </c>
      <c r="L699" t="s">
        <v>22</v>
      </c>
      <c r="M699" t="str">
        <f t="shared" si="20"/>
        <v>Available</v>
      </c>
      <c r="N699">
        <f t="shared" si="21"/>
        <v>11167.2</v>
      </c>
    </row>
    <row r="700" spans="1:14" x14ac:dyDescent="0.3">
      <c r="A700" t="s">
        <v>740</v>
      </c>
      <c r="B700" s="1">
        <v>45699</v>
      </c>
      <c r="C700" t="s">
        <v>13</v>
      </c>
      <c r="D700" t="s">
        <v>31</v>
      </c>
      <c r="E700" t="s">
        <v>32</v>
      </c>
      <c r="F700" t="s">
        <v>29</v>
      </c>
      <c r="G700">
        <v>32</v>
      </c>
      <c r="H700">
        <v>1242</v>
      </c>
      <c r="I700">
        <v>39744</v>
      </c>
      <c r="J700">
        <v>67</v>
      </c>
      <c r="K700">
        <v>7</v>
      </c>
      <c r="L700" t="s">
        <v>17</v>
      </c>
      <c r="M700" t="str">
        <f t="shared" si="20"/>
        <v>Available</v>
      </c>
      <c r="N700">
        <f t="shared" si="21"/>
        <v>7948.8</v>
      </c>
    </row>
    <row r="701" spans="1:14" x14ac:dyDescent="0.3">
      <c r="A701" t="s">
        <v>741</v>
      </c>
      <c r="B701" s="1">
        <v>45699</v>
      </c>
      <c r="C701" t="s">
        <v>38</v>
      </c>
      <c r="D701" t="s">
        <v>51</v>
      </c>
      <c r="E701" t="s">
        <v>66</v>
      </c>
      <c r="F701" t="s">
        <v>24</v>
      </c>
      <c r="G701">
        <v>26</v>
      </c>
      <c r="H701">
        <v>3565</v>
      </c>
      <c r="I701">
        <v>92690</v>
      </c>
      <c r="J701">
        <v>110</v>
      </c>
      <c r="K701">
        <v>2</v>
      </c>
      <c r="L701" t="s">
        <v>22</v>
      </c>
      <c r="M701" t="str">
        <f t="shared" si="20"/>
        <v>Available</v>
      </c>
      <c r="N701">
        <f t="shared" si="21"/>
        <v>18538</v>
      </c>
    </row>
    <row r="702" spans="1:14" x14ac:dyDescent="0.3">
      <c r="A702" t="s">
        <v>742</v>
      </c>
      <c r="B702" s="1">
        <v>45720</v>
      </c>
      <c r="C702" t="s">
        <v>13</v>
      </c>
      <c r="D702" t="s">
        <v>27</v>
      </c>
      <c r="E702" t="s">
        <v>34</v>
      </c>
      <c r="F702" t="s">
        <v>16</v>
      </c>
      <c r="G702">
        <v>47</v>
      </c>
      <c r="H702">
        <v>2796</v>
      </c>
      <c r="I702">
        <v>131412</v>
      </c>
      <c r="J702">
        <v>26</v>
      </c>
      <c r="K702">
        <v>6</v>
      </c>
      <c r="L702" t="s">
        <v>17</v>
      </c>
      <c r="M702" t="str">
        <f t="shared" si="20"/>
        <v>Reorder</v>
      </c>
      <c r="N702">
        <f t="shared" si="21"/>
        <v>26282.400000000001</v>
      </c>
    </row>
    <row r="703" spans="1:14" x14ac:dyDescent="0.3">
      <c r="A703" t="s">
        <v>743</v>
      </c>
      <c r="B703" s="1">
        <v>45923</v>
      </c>
      <c r="C703" t="s">
        <v>13</v>
      </c>
      <c r="D703" t="s">
        <v>14</v>
      </c>
      <c r="E703" t="s">
        <v>42</v>
      </c>
      <c r="F703" t="s">
        <v>29</v>
      </c>
      <c r="G703">
        <v>46</v>
      </c>
      <c r="H703">
        <v>2033</v>
      </c>
      <c r="I703">
        <v>93518</v>
      </c>
      <c r="J703">
        <v>84</v>
      </c>
      <c r="K703">
        <v>6</v>
      </c>
      <c r="L703" t="s">
        <v>17</v>
      </c>
      <c r="M703" t="str">
        <f t="shared" si="20"/>
        <v>Available</v>
      </c>
      <c r="N703">
        <f t="shared" si="21"/>
        <v>18703.600000000002</v>
      </c>
    </row>
    <row r="704" spans="1:14" x14ac:dyDescent="0.3">
      <c r="A704" t="s">
        <v>744</v>
      </c>
      <c r="B704" s="1">
        <v>45680</v>
      </c>
      <c r="C704" t="s">
        <v>38</v>
      </c>
      <c r="D704" t="s">
        <v>14</v>
      </c>
      <c r="E704" t="s">
        <v>58</v>
      </c>
      <c r="F704" t="s">
        <v>29</v>
      </c>
      <c r="G704">
        <v>4</v>
      </c>
      <c r="H704">
        <v>1659</v>
      </c>
      <c r="I704">
        <v>6636</v>
      </c>
      <c r="J704">
        <v>89</v>
      </c>
      <c r="K704">
        <v>8</v>
      </c>
      <c r="L704" t="s">
        <v>17</v>
      </c>
      <c r="M704" t="str">
        <f t="shared" si="20"/>
        <v>Available</v>
      </c>
      <c r="N704">
        <f t="shared" si="21"/>
        <v>1327.2</v>
      </c>
    </row>
    <row r="705" spans="1:14" x14ac:dyDescent="0.3">
      <c r="A705" t="s">
        <v>745</v>
      </c>
      <c r="B705" s="1">
        <v>45917</v>
      </c>
      <c r="C705" t="s">
        <v>38</v>
      </c>
      <c r="D705" t="s">
        <v>27</v>
      </c>
      <c r="E705" t="s">
        <v>34</v>
      </c>
      <c r="F705" t="s">
        <v>24</v>
      </c>
      <c r="G705">
        <v>31</v>
      </c>
      <c r="H705">
        <v>2834</v>
      </c>
      <c r="I705">
        <v>87854</v>
      </c>
      <c r="J705">
        <v>24</v>
      </c>
      <c r="K705">
        <v>6</v>
      </c>
      <c r="L705" t="s">
        <v>17</v>
      </c>
      <c r="M705" t="str">
        <f t="shared" si="20"/>
        <v>Reorder</v>
      </c>
      <c r="N705">
        <f t="shared" si="21"/>
        <v>17570.8</v>
      </c>
    </row>
    <row r="706" spans="1:14" x14ac:dyDescent="0.3">
      <c r="A706" t="s">
        <v>746</v>
      </c>
      <c r="B706" s="1">
        <v>45809</v>
      </c>
      <c r="C706" t="s">
        <v>13</v>
      </c>
      <c r="D706" t="s">
        <v>14</v>
      </c>
      <c r="E706" t="s">
        <v>15</v>
      </c>
      <c r="F706" t="s">
        <v>21</v>
      </c>
      <c r="G706">
        <v>29</v>
      </c>
      <c r="H706">
        <v>3904</v>
      </c>
      <c r="I706">
        <v>113216</v>
      </c>
      <c r="J706">
        <v>42</v>
      </c>
      <c r="K706">
        <v>2</v>
      </c>
      <c r="L706" t="s">
        <v>22</v>
      </c>
      <c r="M706" t="str">
        <f t="shared" si="20"/>
        <v>Reorder</v>
      </c>
      <c r="N706">
        <f t="shared" si="21"/>
        <v>22643.200000000001</v>
      </c>
    </row>
    <row r="707" spans="1:14" x14ac:dyDescent="0.3">
      <c r="A707" t="s">
        <v>747</v>
      </c>
      <c r="B707" s="1">
        <v>45783</v>
      </c>
      <c r="C707" t="s">
        <v>19</v>
      </c>
      <c r="D707" t="s">
        <v>27</v>
      </c>
      <c r="E707" t="s">
        <v>28</v>
      </c>
      <c r="F707" t="s">
        <v>24</v>
      </c>
      <c r="G707">
        <v>33</v>
      </c>
      <c r="H707">
        <v>2358</v>
      </c>
      <c r="I707">
        <v>77814</v>
      </c>
      <c r="J707">
        <v>285</v>
      </c>
      <c r="K707">
        <v>4</v>
      </c>
      <c r="L707" t="s">
        <v>22</v>
      </c>
      <c r="M707" t="str">
        <f t="shared" ref="M707:M770" si="22">IF(J707&lt;50,"Reorder","Available")</f>
        <v>Available</v>
      </c>
      <c r="N707">
        <f t="shared" ref="N707:N770" si="23">I707*20%</f>
        <v>15562.800000000001</v>
      </c>
    </row>
    <row r="708" spans="1:14" x14ac:dyDescent="0.3">
      <c r="A708" t="s">
        <v>748</v>
      </c>
      <c r="B708" s="1">
        <v>45678</v>
      </c>
      <c r="C708" t="s">
        <v>13</v>
      </c>
      <c r="D708" t="s">
        <v>14</v>
      </c>
      <c r="E708" t="s">
        <v>20</v>
      </c>
      <c r="F708" t="s">
        <v>24</v>
      </c>
      <c r="G708">
        <v>37</v>
      </c>
      <c r="H708">
        <v>3926</v>
      </c>
      <c r="I708">
        <v>145262</v>
      </c>
      <c r="J708">
        <v>280</v>
      </c>
      <c r="K708">
        <v>10</v>
      </c>
      <c r="L708" t="s">
        <v>17</v>
      </c>
      <c r="M708" t="str">
        <f t="shared" si="22"/>
        <v>Available</v>
      </c>
      <c r="N708">
        <f t="shared" si="23"/>
        <v>29052.400000000001</v>
      </c>
    </row>
    <row r="709" spans="1:14" x14ac:dyDescent="0.3">
      <c r="A709" t="s">
        <v>749</v>
      </c>
      <c r="B709" s="1">
        <v>45920</v>
      </c>
      <c r="C709" t="s">
        <v>38</v>
      </c>
      <c r="D709" t="s">
        <v>14</v>
      </c>
      <c r="E709" t="s">
        <v>15</v>
      </c>
      <c r="F709" t="s">
        <v>16</v>
      </c>
      <c r="G709">
        <v>46</v>
      </c>
      <c r="H709">
        <v>4461</v>
      </c>
      <c r="I709">
        <v>205206</v>
      </c>
      <c r="J709">
        <v>278</v>
      </c>
      <c r="K709">
        <v>5</v>
      </c>
      <c r="L709" t="s">
        <v>22</v>
      </c>
      <c r="M709" t="str">
        <f t="shared" si="22"/>
        <v>Available</v>
      </c>
      <c r="N709">
        <f t="shared" si="23"/>
        <v>41041.200000000004</v>
      </c>
    </row>
    <row r="710" spans="1:14" x14ac:dyDescent="0.3">
      <c r="A710" t="s">
        <v>750</v>
      </c>
      <c r="B710" s="1">
        <v>45704</v>
      </c>
      <c r="C710" t="s">
        <v>13</v>
      </c>
      <c r="D710" t="s">
        <v>14</v>
      </c>
      <c r="E710" t="s">
        <v>42</v>
      </c>
      <c r="F710" t="s">
        <v>24</v>
      </c>
      <c r="G710">
        <v>38</v>
      </c>
      <c r="H710">
        <v>2058</v>
      </c>
      <c r="I710">
        <v>78204</v>
      </c>
      <c r="J710">
        <v>278</v>
      </c>
      <c r="K710">
        <v>6</v>
      </c>
      <c r="L710" t="s">
        <v>17</v>
      </c>
      <c r="M710" t="str">
        <f t="shared" si="22"/>
        <v>Available</v>
      </c>
      <c r="N710">
        <f t="shared" si="23"/>
        <v>15640.800000000001</v>
      </c>
    </row>
    <row r="711" spans="1:14" x14ac:dyDescent="0.3">
      <c r="A711" t="s">
        <v>751</v>
      </c>
      <c r="B711" s="1">
        <v>45768</v>
      </c>
      <c r="C711" t="s">
        <v>38</v>
      </c>
      <c r="D711" t="s">
        <v>14</v>
      </c>
      <c r="E711" t="s">
        <v>58</v>
      </c>
      <c r="F711" t="s">
        <v>24</v>
      </c>
      <c r="G711">
        <v>23</v>
      </c>
      <c r="H711">
        <v>3862</v>
      </c>
      <c r="I711">
        <v>88826</v>
      </c>
      <c r="J711">
        <v>27</v>
      </c>
      <c r="K711">
        <v>7</v>
      </c>
      <c r="L711" t="s">
        <v>17</v>
      </c>
      <c r="M711" t="str">
        <f t="shared" si="22"/>
        <v>Reorder</v>
      </c>
      <c r="N711">
        <f t="shared" si="23"/>
        <v>17765.2</v>
      </c>
    </row>
    <row r="712" spans="1:14" x14ac:dyDescent="0.3">
      <c r="A712" t="s">
        <v>752</v>
      </c>
      <c r="B712" s="1">
        <v>45712</v>
      </c>
      <c r="C712" t="s">
        <v>13</v>
      </c>
      <c r="D712" t="s">
        <v>51</v>
      </c>
      <c r="E712" t="s">
        <v>90</v>
      </c>
      <c r="F712" t="s">
        <v>16</v>
      </c>
      <c r="G712">
        <v>21</v>
      </c>
      <c r="H712">
        <v>4154</v>
      </c>
      <c r="I712">
        <v>87234</v>
      </c>
      <c r="J712">
        <v>81</v>
      </c>
      <c r="K712">
        <v>5</v>
      </c>
      <c r="L712" t="s">
        <v>22</v>
      </c>
      <c r="M712" t="str">
        <f t="shared" si="22"/>
        <v>Available</v>
      </c>
      <c r="N712">
        <f t="shared" si="23"/>
        <v>17446.8</v>
      </c>
    </row>
    <row r="713" spans="1:14" x14ac:dyDescent="0.3">
      <c r="A713" t="s">
        <v>753</v>
      </c>
      <c r="B713" s="1">
        <v>45889</v>
      </c>
      <c r="C713" t="s">
        <v>38</v>
      </c>
      <c r="D713" t="s">
        <v>27</v>
      </c>
      <c r="E713" t="s">
        <v>28</v>
      </c>
      <c r="F713" t="s">
        <v>16</v>
      </c>
      <c r="G713">
        <v>46</v>
      </c>
      <c r="H713">
        <v>1475</v>
      </c>
      <c r="I713">
        <v>67850</v>
      </c>
      <c r="J713">
        <v>91</v>
      </c>
      <c r="K713">
        <v>9</v>
      </c>
      <c r="L713" t="s">
        <v>17</v>
      </c>
      <c r="M713" t="str">
        <f t="shared" si="22"/>
        <v>Available</v>
      </c>
      <c r="N713">
        <f t="shared" si="23"/>
        <v>13570</v>
      </c>
    </row>
    <row r="714" spans="1:14" x14ac:dyDescent="0.3">
      <c r="A714" t="s">
        <v>754</v>
      </c>
      <c r="B714" s="1">
        <v>45705</v>
      </c>
      <c r="C714" t="s">
        <v>13</v>
      </c>
      <c r="D714" t="s">
        <v>31</v>
      </c>
      <c r="E714" t="s">
        <v>45</v>
      </c>
      <c r="F714" t="s">
        <v>21</v>
      </c>
      <c r="G714">
        <v>23</v>
      </c>
      <c r="H714">
        <v>1662</v>
      </c>
      <c r="I714">
        <v>38226</v>
      </c>
      <c r="J714">
        <v>82</v>
      </c>
      <c r="K714">
        <v>9</v>
      </c>
      <c r="L714" t="s">
        <v>17</v>
      </c>
      <c r="M714" t="str">
        <f t="shared" si="22"/>
        <v>Available</v>
      </c>
      <c r="N714">
        <f t="shared" si="23"/>
        <v>7645.2000000000007</v>
      </c>
    </row>
    <row r="715" spans="1:14" x14ac:dyDescent="0.3">
      <c r="A715" t="s">
        <v>755</v>
      </c>
      <c r="B715" s="1">
        <v>45912</v>
      </c>
      <c r="C715" t="s">
        <v>13</v>
      </c>
      <c r="D715" t="s">
        <v>27</v>
      </c>
      <c r="E715" t="s">
        <v>34</v>
      </c>
      <c r="F715" t="s">
        <v>16</v>
      </c>
      <c r="G715">
        <v>7</v>
      </c>
      <c r="H715">
        <v>4077</v>
      </c>
      <c r="I715">
        <v>28539</v>
      </c>
      <c r="J715">
        <v>29</v>
      </c>
      <c r="K715">
        <v>6</v>
      </c>
      <c r="L715" t="s">
        <v>17</v>
      </c>
      <c r="M715" t="str">
        <f t="shared" si="22"/>
        <v>Reorder</v>
      </c>
      <c r="N715">
        <f t="shared" si="23"/>
        <v>5707.8</v>
      </c>
    </row>
    <row r="716" spans="1:14" x14ac:dyDescent="0.3">
      <c r="A716" t="s">
        <v>756</v>
      </c>
      <c r="B716" s="1">
        <v>45992</v>
      </c>
      <c r="C716" t="s">
        <v>26</v>
      </c>
      <c r="D716" t="s">
        <v>51</v>
      </c>
      <c r="E716" t="s">
        <v>56</v>
      </c>
      <c r="F716" t="s">
        <v>16</v>
      </c>
      <c r="G716">
        <v>2</v>
      </c>
      <c r="H716">
        <v>2051</v>
      </c>
      <c r="I716">
        <v>4102</v>
      </c>
      <c r="J716">
        <v>227</v>
      </c>
      <c r="K716">
        <v>3</v>
      </c>
      <c r="L716" t="s">
        <v>22</v>
      </c>
      <c r="M716" t="str">
        <f t="shared" si="22"/>
        <v>Available</v>
      </c>
      <c r="N716">
        <f t="shared" si="23"/>
        <v>820.40000000000009</v>
      </c>
    </row>
    <row r="717" spans="1:14" x14ac:dyDescent="0.3">
      <c r="A717" t="s">
        <v>757</v>
      </c>
      <c r="B717" s="1">
        <v>45717</v>
      </c>
      <c r="C717" t="s">
        <v>38</v>
      </c>
      <c r="D717" t="s">
        <v>31</v>
      </c>
      <c r="E717" t="s">
        <v>76</v>
      </c>
      <c r="F717" t="s">
        <v>21</v>
      </c>
      <c r="G717">
        <v>14</v>
      </c>
      <c r="H717">
        <v>4272</v>
      </c>
      <c r="I717">
        <v>59808</v>
      </c>
      <c r="J717">
        <v>146</v>
      </c>
      <c r="K717">
        <v>7</v>
      </c>
      <c r="L717" t="s">
        <v>17</v>
      </c>
      <c r="M717" t="str">
        <f t="shared" si="22"/>
        <v>Available</v>
      </c>
      <c r="N717">
        <f t="shared" si="23"/>
        <v>11961.6</v>
      </c>
    </row>
    <row r="718" spans="1:14" x14ac:dyDescent="0.3">
      <c r="A718" t="s">
        <v>758</v>
      </c>
      <c r="B718" s="1">
        <v>45679</v>
      </c>
      <c r="C718" t="s">
        <v>38</v>
      </c>
      <c r="D718" t="s">
        <v>31</v>
      </c>
      <c r="E718" t="s">
        <v>45</v>
      </c>
      <c r="F718" t="s">
        <v>29</v>
      </c>
      <c r="G718">
        <v>22</v>
      </c>
      <c r="H718">
        <v>2512</v>
      </c>
      <c r="I718">
        <v>55264</v>
      </c>
      <c r="J718">
        <v>192</v>
      </c>
      <c r="K718">
        <v>10</v>
      </c>
      <c r="L718" t="s">
        <v>17</v>
      </c>
      <c r="M718" t="str">
        <f t="shared" si="22"/>
        <v>Available</v>
      </c>
      <c r="N718">
        <f t="shared" si="23"/>
        <v>11052.800000000001</v>
      </c>
    </row>
    <row r="719" spans="1:14" x14ac:dyDescent="0.3">
      <c r="A719" t="s">
        <v>759</v>
      </c>
      <c r="B719" s="1">
        <v>45964</v>
      </c>
      <c r="C719" t="s">
        <v>13</v>
      </c>
      <c r="D719" t="s">
        <v>51</v>
      </c>
      <c r="E719" t="s">
        <v>66</v>
      </c>
      <c r="F719" t="s">
        <v>24</v>
      </c>
      <c r="G719">
        <v>13</v>
      </c>
      <c r="H719">
        <v>4410</v>
      </c>
      <c r="I719">
        <v>57330</v>
      </c>
      <c r="J719">
        <v>105</v>
      </c>
      <c r="K719">
        <v>2</v>
      </c>
      <c r="L719" t="s">
        <v>22</v>
      </c>
      <c r="M719" t="str">
        <f t="shared" si="22"/>
        <v>Available</v>
      </c>
      <c r="N719">
        <f t="shared" si="23"/>
        <v>11466</v>
      </c>
    </row>
    <row r="720" spans="1:14" x14ac:dyDescent="0.3">
      <c r="A720" t="s">
        <v>760</v>
      </c>
      <c r="B720" s="1">
        <v>45718</v>
      </c>
      <c r="C720" t="s">
        <v>26</v>
      </c>
      <c r="D720" t="s">
        <v>14</v>
      </c>
      <c r="E720" t="s">
        <v>20</v>
      </c>
      <c r="F720" t="s">
        <v>29</v>
      </c>
      <c r="G720">
        <v>22</v>
      </c>
      <c r="H720">
        <v>4152</v>
      </c>
      <c r="I720">
        <v>91344</v>
      </c>
      <c r="J720">
        <v>284</v>
      </c>
      <c r="K720">
        <v>9</v>
      </c>
      <c r="L720" t="s">
        <v>17</v>
      </c>
      <c r="M720" t="str">
        <f t="shared" si="22"/>
        <v>Available</v>
      </c>
      <c r="N720">
        <f t="shared" si="23"/>
        <v>18268.8</v>
      </c>
    </row>
    <row r="721" spans="1:14" x14ac:dyDescent="0.3">
      <c r="A721" t="s">
        <v>761</v>
      </c>
      <c r="B721" s="1">
        <v>45729</v>
      </c>
      <c r="C721" t="s">
        <v>19</v>
      </c>
      <c r="D721" t="s">
        <v>51</v>
      </c>
      <c r="E721" t="s">
        <v>52</v>
      </c>
      <c r="F721" t="s">
        <v>29</v>
      </c>
      <c r="G721">
        <v>26</v>
      </c>
      <c r="H721">
        <v>2237</v>
      </c>
      <c r="I721">
        <v>58162</v>
      </c>
      <c r="J721">
        <v>211</v>
      </c>
      <c r="K721">
        <v>5</v>
      </c>
      <c r="L721" t="s">
        <v>22</v>
      </c>
      <c r="M721" t="str">
        <f t="shared" si="22"/>
        <v>Available</v>
      </c>
      <c r="N721">
        <f t="shared" si="23"/>
        <v>11632.400000000001</v>
      </c>
    </row>
    <row r="722" spans="1:14" x14ac:dyDescent="0.3">
      <c r="A722" t="s">
        <v>762</v>
      </c>
      <c r="B722" s="1">
        <v>45892</v>
      </c>
      <c r="C722" t="s">
        <v>13</v>
      </c>
      <c r="D722" t="s">
        <v>27</v>
      </c>
      <c r="E722" t="s">
        <v>28</v>
      </c>
      <c r="F722" t="s">
        <v>21</v>
      </c>
      <c r="G722">
        <v>12</v>
      </c>
      <c r="H722">
        <v>3720</v>
      </c>
      <c r="I722">
        <v>44640</v>
      </c>
      <c r="J722">
        <v>190</v>
      </c>
      <c r="K722">
        <v>9</v>
      </c>
      <c r="L722" t="s">
        <v>17</v>
      </c>
      <c r="M722" t="str">
        <f t="shared" si="22"/>
        <v>Available</v>
      </c>
      <c r="N722">
        <f t="shared" si="23"/>
        <v>8928</v>
      </c>
    </row>
    <row r="723" spans="1:14" x14ac:dyDescent="0.3">
      <c r="A723" t="s">
        <v>763</v>
      </c>
      <c r="B723" s="1">
        <v>45869</v>
      </c>
      <c r="C723" t="s">
        <v>38</v>
      </c>
      <c r="D723" t="s">
        <v>51</v>
      </c>
      <c r="E723" t="s">
        <v>66</v>
      </c>
      <c r="F723" t="s">
        <v>24</v>
      </c>
      <c r="G723">
        <v>38</v>
      </c>
      <c r="H723">
        <v>4509</v>
      </c>
      <c r="I723">
        <v>171342</v>
      </c>
      <c r="J723">
        <v>167</v>
      </c>
      <c r="K723">
        <v>2</v>
      </c>
      <c r="L723" t="s">
        <v>22</v>
      </c>
      <c r="M723" t="str">
        <f t="shared" si="22"/>
        <v>Available</v>
      </c>
      <c r="N723">
        <f t="shared" si="23"/>
        <v>34268.400000000001</v>
      </c>
    </row>
    <row r="724" spans="1:14" x14ac:dyDescent="0.3">
      <c r="A724" t="s">
        <v>764</v>
      </c>
      <c r="B724" s="1">
        <v>45991</v>
      </c>
      <c r="C724" t="s">
        <v>13</v>
      </c>
      <c r="D724" t="s">
        <v>27</v>
      </c>
      <c r="E724" t="s">
        <v>64</v>
      </c>
      <c r="F724" t="s">
        <v>21</v>
      </c>
      <c r="G724">
        <v>37</v>
      </c>
      <c r="H724">
        <v>1619</v>
      </c>
      <c r="I724">
        <v>59903</v>
      </c>
      <c r="J724">
        <v>298</v>
      </c>
      <c r="K724">
        <v>2</v>
      </c>
      <c r="L724" t="s">
        <v>22</v>
      </c>
      <c r="M724" t="str">
        <f t="shared" si="22"/>
        <v>Available</v>
      </c>
      <c r="N724">
        <f t="shared" si="23"/>
        <v>11980.6</v>
      </c>
    </row>
    <row r="725" spans="1:14" x14ac:dyDescent="0.3">
      <c r="A725" t="s">
        <v>765</v>
      </c>
      <c r="B725" s="1">
        <v>46004</v>
      </c>
      <c r="C725" t="s">
        <v>38</v>
      </c>
      <c r="D725" t="s">
        <v>51</v>
      </c>
      <c r="E725" t="s">
        <v>90</v>
      </c>
      <c r="F725" t="s">
        <v>16</v>
      </c>
      <c r="G725">
        <v>39</v>
      </c>
      <c r="H725">
        <v>4923</v>
      </c>
      <c r="I725">
        <v>191997</v>
      </c>
      <c r="J725">
        <v>72</v>
      </c>
      <c r="K725">
        <v>3</v>
      </c>
      <c r="L725" t="s">
        <v>22</v>
      </c>
      <c r="M725" t="str">
        <f t="shared" si="22"/>
        <v>Available</v>
      </c>
      <c r="N725">
        <f t="shared" si="23"/>
        <v>38399.4</v>
      </c>
    </row>
    <row r="726" spans="1:14" x14ac:dyDescent="0.3">
      <c r="A726" t="s">
        <v>766</v>
      </c>
      <c r="B726" s="1">
        <v>45946</v>
      </c>
      <c r="C726" t="s">
        <v>19</v>
      </c>
      <c r="D726" t="s">
        <v>31</v>
      </c>
      <c r="E726" t="s">
        <v>45</v>
      </c>
      <c r="F726" t="s">
        <v>24</v>
      </c>
      <c r="G726">
        <v>42</v>
      </c>
      <c r="H726">
        <v>3078</v>
      </c>
      <c r="I726">
        <v>129276</v>
      </c>
      <c r="J726">
        <v>57</v>
      </c>
      <c r="K726">
        <v>6</v>
      </c>
      <c r="L726" t="s">
        <v>17</v>
      </c>
      <c r="M726" t="str">
        <f t="shared" si="22"/>
        <v>Available</v>
      </c>
      <c r="N726">
        <f t="shared" si="23"/>
        <v>25855.200000000001</v>
      </c>
    </row>
    <row r="727" spans="1:14" x14ac:dyDescent="0.3">
      <c r="A727" t="s">
        <v>767</v>
      </c>
      <c r="B727" s="1">
        <v>45941</v>
      </c>
      <c r="C727" t="s">
        <v>19</v>
      </c>
      <c r="D727" t="s">
        <v>31</v>
      </c>
      <c r="E727" t="s">
        <v>45</v>
      </c>
      <c r="F727" t="s">
        <v>21</v>
      </c>
      <c r="G727">
        <v>18</v>
      </c>
      <c r="H727">
        <v>2172</v>
      </c>
      <c r="I727">
        <v>39096</v>
      </c>
      <c r="J727">
        <v>244</v>
      </c>
      <c r="K727">
        <v>9</v>
      </c>
      <c r="L727" t="s">
        <v>17</v>
      </c>
      <c r="M727" t="str">
        <f t="shared" si="22"/>
        <v>Available</v>
      </c>
      <c r="N727">
        <f t="shared" si="23"/>
        <v>7819.2000000000007</v>
      </c>
    </row>
    <row r="728" spans="1:14" x14ac:dyDescent="0.3">
      <c r="A728" t="s">
        <v>768</v>
      </c>
      <c r="B728" s="1">
        <v>45828</v>
      </c>
      <c r="C728" t="s">
        <v>19</v>
      </c>
      <c r="D728" t="s">
        <v>51</v>
      </c>
      <c r="E728" t="s">
        <v>90</v>
      </c>
      <c r="F728" t="s">
        <v>16</v>
      </c>
      <c r="G728">
        <v>38</v>
      </c>
      <c r="H728">
        <v>4735</v>
      </c>
      <c r="I728">
        <v>179930</v>
      </c>
      <c r="J728">
        <v>221</v>
      </c>
      <c r="K728">
        <v>3</v>
      </c>
      <c r="L728" t="s">
        <v>22</v>
      </c>
      <c r="M728" t="str">
        <f t="shared" si="22"/>
        <v>Available</v>
      </c>
      <c r="N728">
        <f t="shared" si="23"/>
        <v>35986</v>
      </c>
    </row>
    <row r="729" spans="1:14" x14ac:dyDescent="0.3">
      <c r="A729" t="s">
        <v>769</v>
      </c>
      <c r="B729" s="1">
        <v>45758</v>
      </c>
      <c r="C729" t="s">
        <v>26</v>
      </c>
      <c r="D729" t="s">
        <v>27</v>
      </c>
      <c r="E729" t="s">
        <v>83</v>
      </c>
      <c r="F729" t="s">
        <v>21</v>
      </c>
      <c r="G729">
        <v>25</v>
      </c>
      <c r="H729">
        <v>2685</v>
      </c>
      <c r="I729">
        <v>67125</v>
      </c>
      <c r="J729">
        <v>70</v>
      </c>
      <c r="K729">
        <v>5</v>
      </c>
      <c r="L729" t="s">
        <v>22</v>
      </c>
      <c r="M729" t="str">
        <f t="shared" si="22"/>
        <v>Available</v>
      </c>
      <c r="N729">
        <f t="shared" si="23"/>
        <v>13425</v>
      </c>
    </row>
    <row r="730" spans="1:14" x14ac:dyDescent="0.3">
      <c r="A730" t="s">
        <v>770</v>
      </c>
      <c r="B730" s="1">
        <v>45684</v>
      </c>
      <c r="C730" t="s">
        <v>13</v>
      </c>
      <c r="D730" t="s">
        <v>14</v>
      </c>
      <c r="E730" t="s">
        <v>20</v>
      </c>
      <c r="F730" t="s">
        <v>21</v>
      </c>
      <c r="G730">
        <v>9</v>
      </c>
      <c r="H730">
        <v>1654</v>
      </c>
      <c r="I730">
        <v>14886</v>
      </c>
      <c r="J730">
        <v>243</v>
      </c>
      <c r="K730">
        <v>2</v>
      </c>
      <c r="L730" t="s">
        <v>22</v>
      </c>
      <c r="M730" t="str">
        <f t="shared" si="22"/>
        <v>Available</v>
      </c>
      <c r="N730">
        <f t="shared" si="23"/>
        <v>2977.2000000000003</v>
      </c>
    </row>
    <row r="731" spans="1:14" x14ac:dyDescent="0.3">
      <c r="A731" t="s">
        <v>771</v>
      </c>
      <c r="B731" s="1">
        <v>45829</v>
      </c>
      <c r="C731" t="s">
        <v>13</v>
      </c>
      <c r="D731" t="s">
        <v>14</v>
      </c>
      <c r="E731" t="s">
        <v>20</v>
      </c>
      <c r="F731" t="s">
        <v>24</v>
      </c>
      <c r="G731">
        <v>45</v>
      </c>
      <c r="H731">
        <v>1969</v>
      </c>
      <c r="I731">
        <v>88605</v>
      </c>
      <c r="J731">
        <v>146</v>
      </c>
      <c r="K731">
        <v>10</v>
      </c>
      <c r="L731" t="s">
        <v>17</v>
      </c>
      <c r="M731" t="str">
        <f t="shared" si="22"/>
        <v>Available</v>
      </c>
      <c r="N731">
        <f t="shared" si="23"/>
        <v>17721</v>
      </c>
    </row>
    <row r="732" spans="1:14" x14ac:dyDescent="0.3">
      <c r="A732" t="s">
        <v>772</v>
      </c>
      <c r="B732" s="1">
        <v>45956</v>
      </c>
      <c r="C732" t="s">
        <v>38</v>
      </c>
      <c r="D732" t="s">
        <v>31</v>
      </c>
      <c r="E732" t="s">
        <v>40</v>
      </c>
      <c r="F732" t="s">
        <v>21</v>
      </c>
      <c r="G732">
        <v>22</v>
      </c>
      <c r="H732">
        <v>2181</v>
      </c>
      <c r="I732">
        <v>47982</v>
      </c>
      <c r="J732">
        <v>137</v>
      </c>
      <c r="K732">
        <v>7</v>
      </c>
      <c r="L732" t="s">
        <v>17</v>
      </c>
      <c r="M732" t="str">
        <f t="shared" si="22"/>
        <v>Available</v>
      </c>
      <c r="N732">
        <f t="shared" si="23"/>
        <v>9596.4</v>
      </c>
    </row>
    <row r="733" spans="1:14" x14ac:dyDescent="0.3">
      <c r="A733" t="s">
        <v>773</v>
      </c>
      <c r="B733" s="1">
        <v>46020</v>
      </c>
      <c r="C733" t="s">
        <v>26</v>
      </c>
      <c r="D733" t="s">
        <v>14</v>
      </c>
      <c r="E733" t="s">
        <v>20</v>
      </c>
      <c r="F733" t="s">
        <v>24</v>
      </c>
      <c r="G733">
        <v>37</v>
      </c>
      <c r="H733">
        <v>3019</v>
      </c>
      <c r="I733">
        <v>111703</v>
      </c>
      <c r="J733">
        <v>222</v>
      </c>
      <c r="K733">
        <v>3</v>
      </c>
      <c r="L733" t="s">
        <v>22</v>
      </c>
      <c r="M733" t="str">
        <f t="shared" si="22"/>
        <v>Available</v>
      </c>
      <c r="N733">
        <f t="shared" si="23"/>
        <v>22340.600000000002</v>
      </c>
    </row>
    <row r="734" spans="1:14" x14ac:dyDescent="0.3">
      <c r="A734" t="s">
        <v>774</v>
      </c>
      <c r="B734" s="1">
        <v>45922</v>
      </c>
      <c r="C734" t="s">
        <v>13</v>
      </c>
      <c r="D734" t="s">
        <v>31</v>
      </c>
      <c r="E734" t="s">
        <v>45</v>
      </c>
      <c r="F734" t="s">
        <v>24</v>
      </c>
      <c r="G734">
        <v>46</v>
      </c>
      <c r="H734">
        <v>4282</v>
      </c>
      <c r="I734">
        <v>196972</v>
      </c>
      <c r="J734">
        <v>45</v>
      </c>
      <c r="K734">
        <v>5</v>
      </c>
      <c r="L734" t="s">
        <v>22</v>
      </c>
      <c r="M734" t="str">
        <f t="shared" si="22"/>
        <v>Reorder</v>
      </c>
      <c r="N734">
        <f t="shared" si="23"/>
        <v>39394.400000000001</v>
      </c>
    </row>
    <row r="735" spans="1:14" x14ac:dyDescent="0.3">
      <c r="A735" t="s">
        <v>775</v>
      </c>
      <c r="B735" s="1">
        <v>45945</v>
      </c>
      <c r="C735" t="s">
        <v>13</v>
      </c>
      <c r="D735" t="s">
        <v>14</v>
      </c>
      <c r="E735" t="s">
        <v>20</v>
      </c>
      <c r="F735" t="s">
        <v>16</v>
      </c>
      <c r="G735">
        <v>32</v>
      </c>
      <c r="H735">
        <v>3045</v>
      </c>
      <c r="I735">
        <v>97440</v>
      </c>
      <c r="J735">
        <v>255</v>
      </c>
      <c r="K735">
        <v>9</v>
      </c>
      <c r="L735" t="s">
        <v>17</v>
      </c>
      <c r="M735" t="str">
        <f t="shared" si="22"/>
        <v>Available</v>
      </c>
      <c r="N735">
        <f t="shared" si="23"/>
        <v>19488</v>
      </c>
    </row>
    <row r="736" spans="1:14" x14ac:dyDescent="0.3">
      <c r="A736" t="s">
        <v>776</v>
      </c>
      <c r="B736" s="1">
        <v>45869</v>
      </c>
      <c r="C736" t="s">
        <v>13</v>
      </c>
      <c r="D736" t="s">
        <v>31</v>
      </c>
      <c r="E736" t="s">
        <v>45</v>
      </c>
      <c r="F736" t="s">
        <v>24</v>
      </c>
      <c r="G736">
        <v>14</v>
      </c>
      <c r="H736">
        <v>3054</v>
      </c>
      <c r="I736">
        <v>42756</v>
      </c>
      <c r="J736">
        <v>284</v>
      </c>
      <c r="K736">
        <v>9</v>
      </c>
      <c r="L736" t="s">
        <v>17</v>
      </c>
      <c r="M736" t="str">
        <f t="shared" si="22"/>
        <v>Available</v>
      </c>
      <c r="N736">
        <f t="shared" si="23"/>
        <v>8551.2000000000007</v>
      </c>
    </row>
    <row r="737" spans="1:14" x14ac:dyDescent="0.3">
      <c r="A737" t="s">
        <v>777</v>
      </c>
      <c r="B737" s="1">
        <v>45894</v>
      </c>
      <c r="C737" t="s">
        <v>19</v>
      </c>
      <c r="D737" t="s">
        <v>14</v>
      </c>
      <c r="E737" t="s">
        <v>15</v>
      </c>
      <c r="F737" t="s">
        <v>16</v>
      </c>
      <c r="G737">
        <v>33</v>
      </c>
      <c r="H737">
        <v>4149</v>
      </c>
      <c r="I737">
        <v>136917</v>
      </c>
      <c r="J737">
        <v>213</v>
      </c>
      <c r="K737">
        <v>5</v>
      </c>
      <c r="L737" t="s">
        <v>22</v>
      </c>
      <c r="M737" t="str">
        <f t="shared" si="22"/>
        <v>Available</v>
      </c>
      <c r="N737">
        <f t="shared" si="23"/>
        <v>27383.4</v>
      </c>
    </row>
    <row r="738" spans="1:14" x14ac:dyDescent="0.3">
      <c r="A738" t="s">
        <v>778</v>
      </c>
      <c r="B738" s="1">
        <v>45814</v>
      </c>
      <c r="C738" t="s">
        <v>26</v>
      </c>
      <c r="D738" t="s">
        <v>27</v>
      </c>
      <c r="E738" t="s">
        <v>64</v>
      </c>
      <c r="F738" t="s">
        <v>21</v>
      </c>
      <c r="G738">
        <v>36</v>
      </c>
      <c r="H738">
        <v>3429</v>
      </c>
      <c r="I738">
        <v>123444</v>
      </c>
      <c r="J738">
        <v>215</v>
      </c>
      <c r="K738">
        <v>10</v>
      </c>
      <c r="L738" t="s">
        <v>17</v>
      </c>
      <c r="M738" t="str">
        <f t="shared" si="22"/>
        <v>Available</v>
      </c>
      <c r="N738">
        <f t="shared" si="23"/>
        <v>24688.800000000003</v>
      </c>
    </row>
    <row r="739" spans="1:14" x14ac:dyDescent="0.3">
      <c r="A739" t="s">
        <v>779</v>
      </c>
      <c r="B739" s="1">
        <v>45947</v>
      </c>
      <c r="C739" t="s">
        <v>26</v>
      </c>
      <c r="D739" t="s">
        <v>31</v>
      </c>
      <c r="E739" t="s">
        <v>45</v>
      </c>
      <c r="F739" t="s">
        <v>29</v>
      </c>
      <c r="G739">
        <v>19</v>
      </c>
      <c r="H739">
        <v>1938</v>
      </c>
      <c r="I739">
        <v>36822</v>
      </c>
      <c r="J739">
        <v>127</v>
      </c>
      <c r="K739">
        <v>3</v>
      </c>
      <c r="L739" t="s">
        <v>22</v>
      </c>
      <c r="M739" t="str">
        <f t="shared" si="22"/>
        <v>Available</v>
      </c>
      <c r="N739">
        <f t="shared" si="23"/>
        <v>7364.4000000000005</v>
      </c>
    </row>
    <row r="740" spans="1:14" x14ac:dyDescent="0.3">
      <c r="A740" t="s">
        <v>780</v>
      </c>
      <c r="B740" s="1">
        <v>45823</v>
      </c>
      <c r="C740" t="s">
        <v>38</v>
      </c>
      <c r="D740" t="s">
        <v>27</v>
      </c>
      <c r="E740" t="s">
        <v>83</v>
      </c>
      <c r="F740" t="s">
        <v>21</v>
      </c>
      <c r="G740">
        <v>12</v>
      </c>
      <c r="H740">
        <v>2600</v>
      </c>
      <c r="I740">
        <v>31200</v>
      </c>
      <c r="J740">
        <v>33</v>
      </c>
      <c r="K740">
        <v>8</v>
      </c>
      <c r="L740" t="s">
        <v>17</v>
      </c>
      <c r="M740" t="str">
        <f t="shared" si="22"/>
        <v>Reorder</v>
      </c>
      <c r="N740">
        <f t="shared" si="23"/>
        <v>6240</v>
      </c>
    </row>
    <row r="741" spans="1:14" x14ac:dyDescent="0.3">
      <c r="A741" t="s">
        <v>781</v>
      </c>
      <c r="B741" s="1">
        <v>45983</v>
      </c>
      <c r="C741" t="s">
        <v>19</v>
      </c>
      <c r="D741" t="s">
        <v>14</v>
      </c>
      <c r="E741" t="s">
        <v>20</v>
      </c>
      <c r="F741" t="s">
        <v>16</v>
      </c>
      <c r="G741">
        <v>43</v>
      </c>
      <c r="H741">
        <v>3988</v>
      </c>
      <c r="I741">
        <v>171484</v>
      </c>
      <c r="J741">
        <v>68</v>
      </c>
      <c r="K741">
        <v>5</v>
      </c>
      <c r="L741" t="s">
        <v>22</v>
      </c>
      <c r="M741" t="str">
        <f t="shared" si="22"/>
        <v>Available</v>
      </c>
      <c r="N741">
        <f t="shared" si="23"/>
        <v>34296.800000000003</v>
      </c>
    </row>
    <row r="742" spans="1:14" x14ac:dyDescent="0.3">
      <c r="A742" t="s">
        <v>782</v>
      </c>
      <c r="B742" s="1">
        <v>45879</v>
      </c>
      <c r="C742" t="s">
        <v>19</v>
      </c>
      <c r="D742" t="s">
        <v>14</v>
      </c>
      <c r="E742" t="s">
        <v>42</v>
      </c>
      <c r="F742" t="s">
        <v>29</v>
      </c>
      <c r="G742">
        <v>29</v>
      </c>
      <c r="H742">
        <v>2017</v>
      </c>
      <c r="I742">
        <v>58493</v>
      </c>
      <c r="J742">
        <v>237</v>
      </c>
      <c r="K742">
        <v>4</v>
      </c>
      <c r="L742" t="s">
        <v>22</v>
      </c>
      <c r="M742" t="str">
        <f t="shared" si="22"/>
        <v>Available</v>
      </c>
      <c r="N742">
        <f t="shared" si="23"/>
        <v>11698.6</v>
      </c>
    </row>
    <row r="743" spans="1:14" x14ac:dyDescent="0.3">
      <c r="A743" t="s">
        <v>783</v>
      </c>
      <c r="B743" s="1">
        <v>45801</v>
      </c>
      <c r="C743" t="s">
        <v>13</v>
      </c>
      <c r="D743" t="s">
        <v>27</v>
      </c>
      <c r="E743" t="s">
        <v>34</v>
      </c>
      <c r="F743" t="s">
        <v>16</v>
      </c>
      <c r="G743">
        <v>1</v>
      </c>
      <c r="H743">
        <v>2152</v>
      </c>
      <c r="I743">
        <v>2152</v>
      </c>
      <c r="J743">
        <v>160</v>
      </c>
      <c r="K743">
        <v>3</v>
      </c>
      <c r="L743" t="s">
        <v>22</v>
      </c>
      <c r="M743" t="str">
        <f t="shared" si="22"/>
        <v>Available</v>
      </c>
      <c r="N743">
        <f t="shared" si="23"/>
        <v>430.40000000000003</v>
      </c>
    </row>
    <row r="744" spans="1:14" x14ac:dyDescent="0.3">
      <c r="A744" t="s">
        <v>784</v>
      </c>
      <c r="B744" s="1">
        <v>45961</v>
      </c>
      <c r="C744" t="s">
        <v>19</v>
      </c>
      <c r="D744" t="s">
        <v>51</v>
      </c>
      <c r="E744" t="s">
        <v>52</v>
      </c>
      <c r="F744" t="s">
        <v>16</v>
      </c>
      <c r="G744">
        <v>48</v>
      </c>
      <c r="H744">
        <v>4210</v>
      </c>
      <c r="I744">
        <v>202080</v>
      </c>
      <c r="J744">
        <v>81</v>
      </c>
      <c r="K744">
        <v>5</v>
      </c>
      <c r="L744" t="s">
        <v>22</v>
      </c>
      <c r="M744" t="str">
        <f t="shared" si="22"/>
        <v>Available</v>
      </c>
      <c r="N744">
        <f t="shared" si="23"/>
        <v>40416</v>
      </c>
    </row>
    <row r="745" spans="1:14" x14ac:dyDescent="0.3">
      <c r="A745" t="s">
        <v>785</v>
      </c>
      <c r="B745" s="1">
        <v>45942</v>
      </c>
      <c r="C745" t="s">
        <v>26</v>
      </c>
      <c r="D745" t="s">
        <v>14</v>
      </c>
      <c r="E745" t="s">
        <v>58</v>
      </c>
      <c r="F745" t="s">
        <v>21</v>
      </c>
      <c r="G745">
        <v>31</v>
      </c>
      <c r="H745">
        <v>4035</v>
      </c>
      <c r="I745">
        <v>125085</v>
      </c>
      <c r="J745">
        <v>254</v>
      </c>
      <c r="K745">
        <v>3</v>
      </c>
      <c r="L745" t="s">
        <v>22</v>
      </c>
      <c r="M745" t="str">
        <f t="shared" si="22"/>
        <v>Available</v>
      </c>
      <c r="N745">
        <f t="shared" si="23"/>
        <v>25017</v>
      </c>
    </row>
    <row r="746" spans="1:14" x14ac:dyDescent="0.3">
      <c r="A746" t="s">
        <v>786</v>
      </c>
      <c r="B746" s="1">
        <v>45767</v>
      </c>
      <c r="C746" t="s">
        <v>19</v>
      </c>
      <c r="D746" t="s">
        <v>31</v>
      </c>
      <c r="E746" t="s">
        <v>76</v>
      </c>
      <c r="F746" t="s">
        <v>29</v>
      </c>
      <c r="G746">
        <v>30</v>
      </c>
      <c r="H746">
        <v>4845</v>
      </c>
      <c r="I746">
        <v>145350</v>
      </c>
      <c r="J746">
        <v>165</v>
      </c>
      <c r="K746">
        <v>10</v>
      </c>
      <c r="L746" t="s">
        <v>17</v>
      </c>
      <c r="M746" t="str">
        <f t="shared" si="22"/>
        <v>Available</v>
      </c>
      <c r="N746">
        <f t="shared" si="23"/>
        <v>29070</v>
      </c>
    </row>
    <row r="747" spans="1:14" x14ac:dyDescent="0.3">
      <c r="A747" t="s">
        <v>787</v>
      </c>
      <c r="B747" s="1">
        <v>45973</v>
      </c>
      <c r="C747" t="s">
        <v>26</v>
      </c>
      <c r="D747" t="s">
        <v>31</v>
      </c>
      <c r="E747" t="s">
        <v>76</v>
      </c>
      <c r="F747" t="s">
        <v>16</v>
      </c>
      <c r="G747">
        <v>13</v>
      </c>
      <c r="H747">
        <v>3615</v>
      </c>
      <c r="I747">
        <v>46995</v>
      </c>
      <c r="J747">
        <v>126</v>
      </c>
      <c r="K747">
        <v>10</v>
      </c>
      <c r="L747" t="s">
        <v>17</v>
      </c>
      <c r="M747" t="str">
        <f t="shared" si="22"/>
        <v>Available</v>
      </c>
      <c r="N747">
        <f t="shared" si="23"/>
        <v>9399</v>
      </c>
    </row>
    <row r="748" spans="1:14" x14ac:dyDescent="0.3">
      <c r="A748" t="s">
        <v>788</v>
      </c>
      <c r="B748" s="1">
        <v>45891</v>
      </c>
      <c r="C748" t="s">
        <v>26</v>
      </c>
      <c r="D748" t="s">
        <v>27</v>
      </c>
      <c r="E748" t="s">
        <v>34</v>
      </c>
      <c r="F748" t="s">
        <v>24</v>
      </c>
      <c r="G748">
        <v>8</v>
      </c>
      <c r="H748">
        <v>4099</v>
      </c>
      <c r="I748">
        <v>32792</v>
      </c>
      <c r="J748">
        <v>244</v>
      </c>
      <c r="K748">
        <v>7</v>
      </c>
      <c r="L748" t="s">
        <v>17</v>
      </c>
      <c r="M748" t="str">
        <f t="shared" si="22"/>
        <v>Available</v>
      </c>
      <c r="N748">
        <f t="shared" si="23"/>
        <v>6558.4000000000005</v>
      </c>
    </row>
    <row r="749" spans="1:14" x14ac:dyDescent="0.3">
      <c r="A749" t="s">
        <v>789</v>
      </c>
      <c r="B749" s="1">
        <v>45824</v>
      </c>
      <c r="C749" t="s">
        <v>13</v>
      </c>
      <c r="D749" t="s">
        <v>27</v>
      </c>
      <c r="E749" t="s">
        <v>64</v>
      </c>
      <c r="F749" t="s">
        <v>21</v>
      </c>
      <c r="G749">
        <v>39</v>
      </c>
      <c r="H749">
        <v>1884</v>
      </c>
      <c r="I749">
        <v>73476</v>
      </c>
      <c r="J749">
        <v>291</v>
      </c>
      <c r="K749">
        <v>9</v>
      </c>
      <c r="L749" t="s">
        <v>17</v>
      </c>
      <c r="M749" t="str">
        <f t="shared" si="22"/>
        <v>Available</v>
      </c>
      <c r="N749">
        <f t="shared" si="23"/>
        <v>14695.2</v>
      </c>
    </row>
    <row r="750" spans="1:14" x14ac:dyDescent="0.3">
      <c r="A750" t="s">
        <v>790</v>
      </c>
      <c r="B750" s="1">
        <v>45919</v>
      </c>
      <c r="C750" t="s">
        <v>19</v>
      </c>
      <c r="D750" t="s">
        <v>51</v>
      </c>
      <c r="E750" t="s">
        <v>52</v>
      </c>
      <c r="F750" t="s">
        <v>24</v>
      </c>
      <c r="G750">
        <v>43</v>
      </c>
      <c r="H750">
        <v>4412</v>
      </c>
      <c r="I750">
        <v>189716</v>
      </c>
      <c r="J750">
        <v>177</v>
      </c>
      <c r="K750">
        <v>7</v>
      </c>
      <c r="L750" t="s">
        <v>17</v>
      </c>
      <c r="M750" t="str">
        <f t="shared" si="22"/>
        <v>Available</v>
      </c>
      <c r="N750">
        <f t="shared" si="23"/>
        <v>37943.200000000004</v>
      </c>
    </row>
    <row r="751" spans="1:14" x14ac:dyDescent="0.3">
      <c r="A751" t="s">
        <v>791</v>
      </c>
      <c r="B751" s="1">
        <v>45693</v>
      </c>
      <c r="C751" t="s">
        <v>13</v>
      </c>
      <c r="D751" t="s">
        <v>14</v>
      </c>
      <c r="E751" t="s">
        <v>15</v>
      </c>
      <c r="F751" t="s">
        <v>24</v>
      </c>
      <c r="G751">
        <v>30</v>
      </c>
      <c r="H751">
        <v>2871</v>
      </c>
      <c r="I751">
        <v>86130</v>
      </c>
      <c r="J751">
        <v>168</v>
      </c>
      <c r="K751">
        <v>2</v>
      </c>
      <c r="L751" t="s">
        <v>22</v>
      </c>
      <c r="M751" t="str">
        <f t="shared" si="22"/>
        <v>Available</v>
      </c>
      <c r="N751">
        <f t="shared" si="23"/>
        <v>17226</v>
      </c>
    </row>
    <row r="752" spans="1:14" x14ac:dyDescent="0.3">
      <c r="A752" t="s">
        <v>792</v>
      </c>
      <c r="B752" s="1">
        <v>45906</v>
      </c>
      <c r="C752" t="s">
        <v>13</v>
      </c>
      <c r="D752" t="s">
        <v>14</v>
      </c>
      <c r="E752" t="s">
        <v>20</v>
      </c>
      <c r="F752" t="s">
        <v>29</v>
      </c>
      <c r="G752">
        <v>11</v>
      </c>
      <c r="H752">
        <v>1414</v>
      </c>
      <c r="I752">
        <v>15554</v>
      </c>
      <c r="J752">
        <v>170</v>
      </c>
      <c r="K752">
        <v>6</v>
      </c>
      <c r="L752" t="s">
        <v>17</v>
      </c>
      <c r="M752" t="str">
        <f t="shared" si="22"/>
        <v>Available</v>
      </c>
      <c r="N752">
        <f t="shared" si="23"/>
        <v>3110.8</v>
      </c>
    </row>
    <row r="753" spans="1:14" x14ac:dyDescent="0.3">
      <c r="A753" t="s">
        <v>793</v>
      </c>
      <c r="B753" s="1">
        <v>45908</v>
      </c>
      <c r="C753" t="s">
        <v>19</v>
      </c>
      <c r="D753" t="s">
        <v>14</v>
      </c>
      <c r="E753" t="s">
        <v>15</v>
      </c>
      <c r="F753" t="s">
        <v>21</v>
      </c>
      <c r="G753">
        <v>38</v>
      </c>
      <c r="H753">
        <v>3515</v>
      </c>
      <c r="I753">
        <v>133570</v>
      </c>
      <c r="J753">
        <v>198</v>
      </c>
      <c r="K753">
        <v>8</v>
      </c>
      <c r="L753" t="s">
        <v>17</v>
      </c>
      <c r="M753" t="str">
        <f t="shared" si="22"/>
        <v>Available</v>
      </c>
      <c r="N753">
        <f t="shared" si="23"/>
        <v>26714</v>
      </c>
    </row>
    <row r="754" spans="1:14" x14ac:dyDescent="0.3">
      <c r="A754" t="s">
        <v>794</v>
      </c>
      <c r="B754" s="1">
        <v>45844</v>
      </c>
      <c r="C754" t="s">
        <v>19</v>
      </c>
      <c r="D754" t="s">
        <v>31</v>
      </c>
      <c r="E754" t="s">
        <v>32</v>
      </c>
      <c r="F754" t="s">
        <v>24</v>
      </c>
      <c r="G754">
        <v>22</v>
      </c>
      <c r="H754">
        <v>586</v>
      </c>
      <c r="I754">
        <v>12892</v>
      </c>
      <c r="J754">
        <v>290</v>
      </c>
      <c r="K754">
        <v>7</v>
      </c>
      <c r="L754" t="s">
        <v>17</v>
      </c>
      <c r="M754" t="str">
        <f t="shared" si="22"/>
        <v>Available</v>
      </c>
      <c r="N754">
        <f t="shared" si="23"/>
        <v>2578.4</v>
      </c>
    </row>
    <row r="755" spans="1:14" x14ac:dyDescent="0.3">
      <c r="A755" t="s">
        <v>795</v>
      </c>
      <c r="B755" s="1">
        <v>45932</v>
      </c>
      <c r="C755" t="s">
        <v>38</v>
      </c>
      <c r="D755" t="s">
        <v>31</v>
      </c>
      <c r="E755" t="s">
        <v>45</v>
      </c>
      <c r="F755" t="s">
        <v>24</v>
      </c>
      <c r="G755">
        <v>39</v>
      </c>
      <c r="H755">
        <v>4272</v>
      </c>
      <c r="I755">
        <v>166608</v>
      </c>
      <c r="J755">
        <v>197</v>
      </c>
      <c r="K755">
        <v>2</v>
      </c>
      <c r="L755" t="s">
        <v>22</v>
      </c>
      <c r="M755" t="str">
        <f t="shared" si="22"/>
        <v>Available</v>
      </c>
      <c r="N755">
        <f t="shared" si="23"/>
        <v>33321.599999999999</v>
      </c>
    </row>
    <row r="756" spans="1:14" x14ac:dyDescent="0.3">
      <c r="A756" t="s">
        <v>796</v>
      </c>
      <c r="B756" s="1">
        <v>45887</v>
      </c>
      <c r="C756" t="s">
        <v>13</v>
      </c>
      <c r="D756" t="s">
        <v>51</v>
      </c>
      <c r="E756" t="s">
        <v>66</v>
      </c>
      <c r="F756" t="s">
        <v>16</v>
      </c>
      <c r="G756">
        <v>19</v>
      </c>
      <c r="H756">
        <v>1484</v>
      </c>
      <c r="I756">
        <v>28196</v>
      </c>
      <c r="J756">
        <v>14</v>
      </c>
      <c r="K756">
        <v>10</v>
      </c>
      <c r="L756" t="s">
        <v>17</v>
      </c>
      <c r="M756" t="str">
        <f t="shared" si="22"/>
        <v>Reorder</v>
      </c>
      <c r="N756">
        <f t="shared" si="23"/>
        <v>5639.2000000000007</v>
      </c>
    </row>
    <row r="757" spans="1:14" x14ac:dyDescent="0.3">
      <c r="A757" t="s">
        <v>797</v>
      </c>
      <c r="B757" s="1">
        <v>45860</v>
      </c>
      <c r="C757" t="s">
        <v>19</v>
      </c>
      <c r="D757" t="s">
        <v>27</v>
      </c>
      <c r="E757" t="s">
        <v>34</v>
      </c>
      <c r="F757" t="s">
        <v>29</v>
      </c>
      <c r="G757">
        <v>14</v>
      </c>
      <c r="H757">
        <v>2842</v>
      </c>
      <c r="I757">
        <v>39788</v>
      </c>
      <c r="J757">
        <v>135</v>
      </c>
      <c r="K757">
        <v>9</v>
      </c>
      <c r="L757" t="s">
        <v>17</v>
      </c>
      <c r="M757" t="str">
        <f t="shared" si="22"/>
        <v>Available</v>
      </c>
      <c r="N757">
        <f t="shared" si="23"/>
        <v>7957.6</v>
      </c>
    </row>
    <row r="758" spans="1:14" x14ac:dyDescent="0.3">
      <c r="A758" t="s">
        <v>798</v>
      </c>
      <c r="B758" s="1">
        <v>45790</v>
      </c>
      <c r="C758" t="s">
        <v>13</v>
      </c>
      <c r="D758" t="s">
        <v>14</v>
      </c>
      <c r="E758" t="s">
        <v>15</v>
      </c>
      <c r="F758" t="s">
        <v>29</v>
      </c>
      <c r="G758">
        <v>8</v>
      </c>
      <c r="H758">
        <v>1431</v>
      </c>
      <c r="I758">
        <v>11448</v>
      </c>
      <c r="J758">
        <v>216</v>
      </c>
      <c r="K758">
        <v>3</v>
      </c>
      <c r="L758" t="s">
        <v>22</v>
      </c>
      <c r="M758" t="str">
        <f t="shared" si="22"/>
        <v>Available</v>
      </c>
      <c r="N758">
        <f t="shared" si="23"/>
        <v>2289.6</v>
      </c>
    </row>
    <row r="759" spans="1:14" x14ac:dyDescent="0.3">
      <c r="A759" t="s">
        <v>799</v>
      </c>
      <c r="B759" s="1">
        <v>45747</v>
      </c>
      <c r="C759" t="s">
        <v>13</v>
      </c>
      <c r="D759" t="s">
        <v>31</v>
      </c>
      <c r="E759" t="s">
        <v>45</v>
      </c>
      <c r="F759" t="s">
        <v>21</v>
      </c>
      <c r="G759">
        <v>18</v>
      </c>
      <c r="H759">
        <v>1918</v>
      </c>
      <c r="I759">
        <v>34524</v>
      </c>
      <c r="J759">
        <v>270</v>
      </c>
      <c r="K759">
        <v>4</v>
      </c>
      <c r="L759" t="s">
        <v>22</v>
      </c>
      <c r="M759" t="str">
        <f t="shared" si="22"/>
        <v>Available</v>
      </c>
      <c r="N759">
        <f t="shared" si="23"/>
        <v>6904.8</v>
      </c>
    </row>
    <row r="760" spans="1:14" x14ac:dyDescent="0.3">
      <c r="A760" t="s">
        <v>800</v>
      </c>
      <c r="B760" s="1">
        <v>45781</v>
      </c>
      <c r="C760" t="s">
        <v>19</v>
      </c>
      <c r="D760" t="s">
        <v>27</v>
      </c>
      <c r="E760" t="s">
        <v>83</v>
      </c>
      <c r="F760" t="s">
        <v>29</v>
      </c>
      <c r="G760">
        <v>33</v>
      </c>
      <c r="H760">
        <v>4207</v>
      </c>
      <c r="I760">
        <v>138831</v>
      </c>
      <c r="J760">
        <v>34</v>
      </c>
      <c r="K760">
        <v>9</v>
      </c>
      <c r="L760" t="s">
        <v>17</v>
      </c>
      <c r="M760" t="str">
        <f t="shared" si="22"/>
        <v>Reorder</v>
      </c>
      <c r="N760">
        <f t="shared" si="23"/>
        <v>27766.2</v>
      </c>
    </row>
    <row r="761" spans="1:14" x14ac:dyDescent="0.3">
      <c r="A761" t="s">
        <v>801</v>
      </c>
      <c r="B761" s="1">
        <v>45984</v>
      </c>
      <c r="C761" t="s">
        <v>19</v>
      </c>
      <c r="D761" t="s">
        <v>31</v>
      </c>
      <c r="E761" t="s">
        <v>40</v>
      </c>
      <c r="F761" t="s">
        <v>21</v>
      </c>
      <c r="G761">
        <v>22</v>
      </c>
      <c r="H761">
        <v>3837</v>
      </c>
      <c r="I761">
        <v>84414</v>
      </c>
      <c r="J761">
        <v>18</v>
      </c>
      <c r="K761">
        <v>5</v>
      </c>
      <c r="L761" t="s">
        <v>22</v>
      </c>
      <c r="M761" t="str">
        <f t="shared" si="22"/>
        <v>Reorder</v>
      </c>
      <c r="N761">
        <f t="shared" si="23"/>
        <v>16882.8</v>
      </c>
    </row>
    <row r="762" spans="1:14" x14ac:dyDescent="0.3">
      <c r="A762" t="s">
        <v>802</v>
      </c>
      <c r="B762" s="1">
        <v>45893</v>
      </c>
      <c r="C762" t="s">
        <v>38</v>
      </c>
      <c r="D762" t="s">
        <v>27</v>
      </c>
      <c r="E762" t="s">
        <v>64</v>
      </c>
      <c r="F762" t="s">
        <v>29</v>
      </c>
      <c r="G762">
        <v>13</v>
      </c>
      <c r="H762">
        <v>3609</v>
      </c>
      <c r="I762">
        <v>46917</v>
      </c>
      <c r="J762">
        <v>154</v>
      </c>
      <c r="K762">
        <v>6</v>
      </c>
      <c r="L762" t="s">
        <v>17</v>
      </c>
      <c r="M762" t="str">
        <f t="shared" si="22"/>
        <v>Available</v>
      </c>
      <c r="N762">
        <f t="shared" si="23"/>
        <v>9383.4</v>
      </c>
    </row>
    <row r="763" spans="1:14" x14ac:dyDescent="0.3">
      <c r="A763" t="s">
        <v>803</v>
      </c>
      <c r="B763" s="1">
        <v>46018</v>
      </c>
      <c r="C763" t="s">
        <v>38</v>
      </c>
      <c r="D763" t="s">
        <v>14</v>
      </c>
      <c r="E763" t="s">
        <v>15</v>
      </c>
      <c r="F763" t="s">
        <v>24</v>
      </c>
      <c r="G763">
        <v>6</v>
      </c>
      <c r="H763">
        <v>2555</v>
      </c>
      <c r="I763">
        <v>15330</v>
      </c>
      <c r="J763">
        <v>113</v>
      </c>
      <c r="K763">
        <v>4</v>
      </c>
      <c r="L763" t="s">
        <v>22</v>
      </c>
      <c r="M763" t="str">
        <f t="shared" si="22"/>
        <v>Available</v>
      </c>
      <c r="N763">
        <f t="shared" si="23"/>
        <v>3066</v>
      </c>
    </row>
    <row r="764" spans="1:14" x14ac:dyDescent="0.3">
      <c r="A764" t="s">
        <v>804</v>
      </c>
      <c r="B764" s="1">
        <v>45947</v>
      </c>
      <c r="C764" t="s">
        <v>38</v>
      </c>
      <c r="D764" t="s">
        <v>31</v>
      </c>
      <c r="E764" t="s">
        <v>32</v>
      </c>
      <c r="F764" t="s">
        <v>29</v>
      </c>
      <c r="G764">
        <v>22</v>
      </c>
      <c r="H764">
        <v>2363</v>
      </c>
      <c r="I764">
        <v>51986</v>
      </c>
      <c r="J764">
        <v>66</v>
      </c>
      <c r="K764">
        <v>10</v>
      </c>
      <c r="L764" t="s">
        <v>17</v>
      </c>
      <c r="M764" t="str">
        <f t="shared" si="22"/>
        <v>Available</v>
      </c>
      <c r="N764">
        <f t="shared" si="23"/>
        <v>10397.200000000001</v>
      </c>
    </row>
    <row r="765" spans="1:14" x14ac:dyDescent="0.3">
      <c r="A765" t="s">
        <v>805</v>
      </c>
      <c r="B765" s="1">
        <v>45975</v>
      </c>
      <c r="C765" t="s">
        <v>19</v>
      </c>
      <c r="D765" t="s">
        <v>14</v>
      </c>
      <c r="E765" t="s">
        <v>58</v>
      </c>
      <c r="F765" t="s">
        <v>24</v>
      </c>
      <c r="G765">
        <v>48</v>
      </c>
      <c r="H765">
        <v>1858</v>
      </c>
      <c r="I765">
        <v>89184</v>
      </c>
      <c r="J765">
        <v>234</v>
      </c>
      <c r="K765">
        <v>4</v>
      </c>
      <c r="L765" t="s">
        <v>22</v>
      </c>
      <c r="M765" t="str">
        <f t="shared" si="22"/>
        <v>Available</v>
      </c>
      <c r="N765">
        <f t="shared" si="23"/>
        <v>17836.8</v>
      </c>
    </row>
    <row r="766" spans="1:14" x14ac:dyDescent="0.3">
      <c r="A766" t="s">
        <v>806</v>
      </c>
      <c r="B766" s="1">
        <v>45739</v>
      </c>
      <c r="C766" t="s">
        <v>26</v>
      </c>
      <c r="D766" t="s">
        <v>14</v>
      </c>
      <c r="E766" t="s">
        <v>15</v>
      </c>
      <c r="F766" t="s">
        <v>16</v>
      </c>
      <c r="G766">
        <v>6</v>
      </c>
      <c r="H766">
        <v>1258</v>
      </c>
      <c r="I766">
        <v>7548</v>
      </c>
      <c r="J766">
        <v>144</v>
      </c>
      <c r="K766">
        <v>5</v>
      </c>
      <c r="L766" t="s">
        <v>22</v>
      </c>
      <c r="M766" t="str">
        <f t="shared" si="22"/>
        <v>Available</v>
      </c>
      <c r="N766">
        <f t="shared" si="23"/>
        <v>1509.6000000000001</v>
      </c>
    </row>
    <row r="767" spans="1:14" x14ac:dyDescent="0.3">
      <c r="A767" t="s">
        <v>807</v>
      </c>
      <c r="B767" s="1">
        <v>45695</v>
      </c>
      <c r="C767" t="s">
        <v>13</v>
      </c>
      <c r="D767" t="s">
        <v>31</v>
      </c>
      <c r="E767" t="s">
        <v>40</v>
      </c>
      <c r="F767" t="s">
        <v>29</v>
      </c>
      <c r="G767">
        <v>31</v>
      </c>
      <c r="H767">
        <v>1096</v>
      </c>
      <c r="I767">
        <v>33976</v>
      </c>
      <c r="J767">
        <v>11</v>
      </c>
      <c r="K767">
        <v>3</v>
      </c>
      <c r="L767" t="s">
        <v>22</v>
      </c>
      <c r="M767" t="str">
        <f t="shared" si="22"/>
        <v>Reorder</v>
      </c>
      <c r="N767">
        <f t="shared" si="23"/>
        <v>6795.2000000000007</v>
      </c>
    </row>
    <row r="768" spans="1:14" x14ac:dyDescent="0.3">
      <c r="A768" t="s">
        <v>808</v>
      </c>
      <c r="B768" s="1">
        <v>45900</v>
      </c>
      <c r="C768" t="s">
        <v>19</v>
      </c>
      <c r="D768" t="s">
        <v>27</v>
      </c>
      <c r="E768" t="s">
        <v>28</v>
      </c>
      <c r="F768" t="s">
        <v>29</v>
      </c>
      <c r="G768">
        <v>31</v>
      </c>
      <c r="H768">
        <v>793</v>
      </c>
      <c r="I768">
        <v>24583</v>
      </c>
      <c r="J768">
        <v>215</v>
      </c>
      <c r="K768">
        <v>8</v>
      </c>
      <c r="L768" t="s">
        <v>17</v>
      </c>
      <c r="M768" t="str">
        <f t="shared" si="22"/>
        <v>Available</v>
      </c>
      <c r="N768">
        <f t="shared" si="23"/>
        <v>4916.6000000000004</v>
      </c>
    </row>
    <row r="769" spans="1:14" x14ac:dyDescent="0.3">
      <c r="A769" t="s">
        <v>809</v>
      </c>
      <c r="B769" s="1">
        <v>45825</v>
      </c>
      <c r="C769" t="s">
        <v>13</v>
      </c>
      <c r="D769" t="s">
        <v>27</v>
      </c>
      <c r="E769" t="s">
        <v>28</v>
      </c>
      <c r="F769" t="s">
        <v>16</v>
      </c>
      <c r="G769">
        <v>9</v>
      </c>
      <c r="H769">
        <v>3143</v>
      </c>
      <c r="I769">
        <v>28287</v>
      </c>
      <c r="J769">
        <v>236</v>
      </c>
      <c r="K769">
        <v>5</v>
      </c>
      <c r="L769" t="s">
        <v>22</v>
      </c>
      <c r="M769" t="str">
        <f t="shared" si="22"/>
        <v>Available</v>
      </c>
      <c r="N769">
        <f t="shared" si="23"/>
        <v>5657.4000000000005</v>
      </c>
    </row>
    <row r="770" spans="1:14" x14ac:dyDescent="0.3">
      <c r="A770" t="s">
        <v>810</v>
      </c>
      <c r="B770" s="1">
        <v>45801</v>
      </c>
      <c r="C770" t="s">
        <v>26</v>
      </c>
      <c r="D770" t="s">
        <v>51</v>
      </c>
      <c r="E770" t="s">
        <v>56</v>
      </c>
      <c r="F770" t="s">
        <v>21</v>
      </c>
      <c r="G770">
        <v>17</v>
      </c>
      <c r="H770">
        <v>3945</v>
      </c>
      <c r="I770">
        <v>67065</v>
      </c>
      <c r="J770">
        <v>13</v>
      </c>
      <c r="K770">
        <v>9</v>
      </c>
      <c r="L770" t="s">
        <v>17</v>
      </c>
      <c r="M770" t="str">
        <f t="shared" si="22"/>
        <v>Reorder</v>
      </c>
      <c r="N770">
        <f t="shared" si="23"/>
        <v>13413</v>
      </c>
    </row>
    <row r="771" spans="1:14" x14ac:dyDescent="0.3">
      <c r="A771" t="s">
        <v>811</v>
      </c>
      <c r="B771" s="1">
        <v>45721</v>
      </c>
      <c r="C771" t="s">
        <v>26</v>
      </c>
      <c r="D771" t="s">
        <v>27</v>
      </c>
      <c r="E771" t="s">
        <v>64</v>
      </c>
      <c r="F771" t="s">
        <v>29</v>
      </c>
      <c r="G771">
        <v>10</v>
      </c>
      <c r="H771">
        <v>638</v>
      </c>
      <c r="I771">
        <v>6380</v>
      </c>
      <c r="J771">
        <v>80</v>
      </c>
      <c r="K771">
        <v>3</v>
      </c>
      <c r="L771" t="s">
        <v>22</v>
      </c>
      <c r="M771" t="str">
        <f t="shared" ref="M771:M834" si="24">IF(J771&lt;50,"Reorder","Available")</f>
        <v>Available</v>
      </c>
      <c r="N771">
        <f t="shared" ref="N771:N834" si="25">I771*20%</f>
        <v>1276</v>
      </c>
    </row>
    <row r="772" spans="1:14" x14ac:dyDescent="0.3">
      <c r="A772" t="s">
        <v>812</v>
      </c>
      <c r="B772" s="1">
        <v>45841</v>
      </c>
      <c r="C772" t="s">
        <v>13</v>
      </c>
      <c r="D772" t="s">
        <v>14</v>
      </c>
      <c r="E772" t="s">
        <v>15</v>
      </c>
      <c r="F772" t="s">
        <v>29</v>
      </c>
      <c r="G772">
        <v>22</v>
      </c>
      <c r="H772">
        <v>1672</v>
      </c>
      <c r="I772">
        <v>36784</v>
      </c>
      <c r="J772">
        <v>84</v>
      </c>
      <c r="K772">
        <v>6</v>
      </c>
      <c r="L772" t="s">
        <v>17</v>
      </c>
      <c r="M772" t="str">
        <f t="shared" si="24"/>
        <v>Available</v>
      </c>
      <c r="N772">
        <f t="shared" si="25"/>
        <v>7356.8</v>
      </c>
    </row>
    <row r="773" spans="1:14" x14ac:dyDescent="0.3">
      <c r="A773" t="s">
        <v>813</v>
      </c>
      <c r="B773" s="1">
        <v>45912</v>
      </c>
      <c r="C773" t="s">
        <v>19</v>
      </c>
      <c r="D773" t="s">
        <v>14</v>
      </c>
      <c r="E773" t="s">
        <v>20</v>
      </c>
      <c r="F773" t="s">
        <v>16</v>
      </c>
      <c r="G773">
        <v>28</v>
      </c>
      <c r="H773">
        <v>1169</v>
      </c>
      <c r="I773">
        <v>32732</v>
      </c>
      <c r="J773">
        <v>130</v>
      </c>
      <c r="K773">
        <v>5</v>
      </c>
      <c r="L773" t="s">
        <v>22</v>
      </c>
      <c r="M773" t="str">
        <f t="shared" si="24"/>
        <v>Available</v>
      </c>
      <c r="N773">
        <f t="shared" si="25"/>
        <v>6546.4000000000005</v>
      </c>
    </row>
    <row r="774" spans="1:14" x14ac:dyDescent="0.3">
      <c r="A774" t="s">
        <v>814</v>
      </c>
      <c r="B774" s="1">
        <v>45967</v>
      </c>
      <c r="C774" t="s">
        <v>38</v>
      </c>
      <c r="D774" t="s">
        <v>14</v>
      </c>
      <c r="E774" t="s">
        <v>42</v>
      </c>
      <c r="F774" t="s">
        <v>16</v>
      </c>
      <c r="G774">
        <v>47</v>
      </c>
      <c r="H774">
        <v>3989</v>
      </c>
      <c r="I774">
        <v>187483</v>
      </c>
      <c r="J774">
        <v>291</v>
      </c>
      <c r="K774">
        <v>6</v>
      </c>
      <c r="L774" t="s">
        <v>17</v>
      </c>
      <c r="M774" t="str">
        <f t="shared" si="24"/>
        <v>Available</v>
      </c>
      <c r="N774">
        <f t="shared" si="25"/>
        <v>37496.6</v>
      </c>
    </row>
    <row r="775" spans="1:14" x14ac:dyDescent="0.3">
      <c r="A775" t="s">
        <v>815</v>
      </c>
      <c r="B775" s="1">
        <v>45711</v>
      </c>
      <c r="C775" t="s">
        <v>26</v>
      </c>
      <c r="D775" t="s">
        <v>51</v>
      </c>
      <c r="E775" t="s">
        <v>66</v>
      </c>
      <c r="F775" t="s">
        <v>21</v>
      </c>
      <c r="G775">
        <v>26</v>
      </c>
      <c r="H775">
        <v>3939</v>
      </c>
      <c r="I775">
        <v>102414</v>
      </c>
      <c r="J775">
        <v>210</v>
      </c>
      <c r="K775">
        <v>6</v>
      </c>
      <c r="L775" t="s">
        <v>17</v>
      </c>
      <c r="M775" t="str">
        <f t="shared" si="24"/>
        <v>Available</v>
      </c>
      <c r="N775">
        <f t="shared" si="25"/>
        <v>20482.800000000003</v>
      </c>
    </row>
    <row r="776" spans="1:14" x14ac:dyDescent="0.3">
      <c r="A776" t="s">
        <v>816</v>
      </c>
      <c r="B776" s="1">
        <v>45706</v>
      </c>
      <c r="C776" t="s">
        <v>19</v>
      </c>
      <c r="D776" t="s">
        <v>14</v>
      </c>
      <c r="E776" t="s">
        <v>20</v>
      </c>
      <c r="F776" t="s">
        <v>24</v>
      </c>
      <c r="G776">
        <v>15</v>
      </c>
      <c r="H776">
        <v>2024</v>
      </c>
      <c r="I776">
        <v>30360</v>
      </c>
      <c r="J776">
        <v>48</v>
      </c>
      <c r="K776">
        <v>9</v>
      </c>
      <c r="L776" t="s">
        <v>17</v>
      </c>
      <c r="M776" t="str">
        <f t="shared" si="24"/>
        <v>Reorder</v>
      </c>
      <c r="N776">
        <f t="shared" si="25"/>
        <v>6072</v>
      </c>
    </row>
    <row r="777" spans="1:14" x14ac:dyDescent="0.3">
      <c r="A777" t="s">
        <v>817</v>
      </c>
      <c r="B777" s="1">
        <v>45924</v>
      </c>
      <c r="C777" t="s">
        <v>19</v>
      </c>
      <c r="D777" t="s">
        <v>31</v>
      </c>
      <c r="E777" t="s">
        <v>32</v>
      </c>
      <c r="F777" t="s">
        <v>16</v>
      </c>
      <c r="G777">
        <v>38</v>
      </c>
      <c r="H777">
        <v>4269</v>
      </c>
      <c r="I777">
        <v>162222</v>
      </c>
      <c r="J777">
        <v>253</v>
      </c>
      <c r="K777">
        <v>9</v>
      </c>
      <c r="L777" t="s">
        <v>17</v>
      </c>
      <c r="M777" t="str">
        <f t="shared" si="24"/>
        <v>Available</v>
      </c>
      <c r="N777">
        <f t="shared" si="25"/>
        <v>32444.400000000001</v>
      </c>
    </row>
    <row r="778" spans="1:14" x14ac:dyDescent="0.3">
      <c r="A778" t="s">
        <v>818</v>
      </c>
      <c r="B778" s="1">
        <v>45792</v>
      </c>
      <c r="C778" t="s">
        <v>13</v>
      </c>
      <c r="D778" t="s">
        <v>27</v>
      </c>
      <c r="E778" t="s">
        <v>83</v>
      </c>
      <c r="F778" t="s">
        <v>29</v>
      </c>
      <c r="G778">
        <v>49</v>
      </c>
      <c r="H778">
        <v>3697</v>
      </c>
      <c r="I778">
        <v>181153</v>
      </c>
      <c r="J778">
        <v>295</v>
      </c>
      <c r="K778">
        <v>5</v>
      </c>
      <c r="L778" t="s">
        <v>22</v>
      </c>
      <c r="M778" t="str">
        <f t="shared" si="24"/>
        <v>Available</v>
      </c>
      <c r="N778">
        <f t="shared" si="25"/>
        <v>36230.6</v>
      </c>
    </row>
    <row r="779" spans="1:14" x14ac:dyDescent="0.3">
      <c r="A779" t="s">
        <v>819</v>
      </c>
      <c r="B779" s="1">
        <v>45702</v>
      </c>
      <c r="C779" t="s">
        <v>38</v>
      </c>
      <c r="D779" t="s">
        <v>51</v>
      </c>
      <c r="E779" t="s">
        <v>56</v>
      </c>
      <c r="F779" t="s">
        <v>21</v>
      </c>
      <c r="G779">
        <v>7</v>
      </c>
      <c r="H779">
        <v>1886</v>
      </c>
      <c r="I779">
        <v>13202</v>
      </c>
      <c r="J779">
        <v>289</v>
      </c>
      <c r="K779">
        <v>6</v>
      </c>
      <c r="L779" t="s">
        <v>17</v>
      </c>
      <c r="M779" t="str">
        <f t="shared" si="24"/>
        <v>Available</v>
      </c>
      <c r="N779">
        <f t="shared" si="25"/>
        <v>2640.4</v>
      </c>
    </row>
    <row r="780" spans="1:14" x14ac:dyDescent="0.3">
      <c r="A780" t="s">
        <v>820</v>
      </c>
      <c r="B780" s="1">
        <v>45781</v>
      </c>
      <c r="C780" t="s">
        <v>26</v>
      </c>
      <c r="D780" t="s">
        <v>27</v>
      </c>
      <c r="E780" t="s">
        <v>83</v>
      </c>
      <c r="F780" t="s">
        <v>29</v>
      </c>
      <c r="G780">
        <v>40</v>
      </c>
      <c r="H780">
        <v>663</v>
      </c>
      <c r="I780">
        <v>26520</v>
      </c>
      <c r="J780">
        <v>129</v>
      </c>
      <c r="K780">
        <v>10</v>
      </c>
      <c r="L780" t="s">
        <v>17</v>
      </c>
      <c r="M780" t="str">
        <f t="shared" si="24"/>
        <v>Available</v>
      </c>
      <c r="N780">
        <f t="shared" si="25"/>
        <v>5304</v>
      </c>
    </row>
    <row r="781" spans="1:14" x14ac:dyDescent="0.3">
      <c r="A781" t="s">
        <v>821</v>
      </c>
      <c r="B781" s="1">
        <v>45928</v>
      </c>
      <c r="C781" t="s">
        <v>26</v>
      </c>
      <c r="D781" t="s">
        <v>51</v>
      </c>
      <c r="E781" t="s">
        <v>52</v>
      </c>
      <c r="F781" t="s">
        <v>24</v>
      </c>
      <c r="G781">
        <v>9</v>
      </c>
      <c r="H781">
        <v>2994</v>
      </c>
      <c r="I781">
        <v>26946</v>
      </c>
      <c r="J781">
        <v>107</v>
      </c>
      <c r="K781">
        <v>8</v>
      </c>
      <c r="L781" t="s">
        <v>17</v>
      </c>
      <c r="M781" t="str">
        <f t="shared" si="24"/>
        <v>Available</v>
      </c>
      <c r="N781">
        <f t="shared" si="25"/>
        <v>5389.2000000000007</v>
      </c>
    </row>
    <row r="782" spans="1:14" x14ac:dyDescent="0.3">
      <c r="A782" t="s">
        <v>822</v>
      </c>
      <c r="B782" s="1">
        <v>45963</v>
      </c>
      <c r="C782" t="s">
        <v>38</v>
      </c>
      <c r="D782" t="s">
        <v>14</v>
      </c>
      <c r="E782" t="s">
        <v>20</v>
      </c>
      <c r="F782" t="s">
        <v>24</v>
      </c>
      <c r="G782">
        <v>24</v>
      </c>
      <c r="H782">
        <v>3918</v>
      </c>
      <c r="I782">
        <v>94032</v>
      </c>
      <c r="J782">
        <v>38</v>
      </c>
      <c r="K782">
        <v>9</v>
      </c>
      <c r="L782" t="s">
        <v>17</v>
      </c>
      <c r="M782" t="str">
        <f t="shared" si="24"/>
        <v>Reorder</v>
      </c>
      <c r="N782">
        <f t="shared" si="25"/>
        <v>18806.400000000001</v>
      </c>
    </row>
    <row r="783" spans="1:14" x14ac:dyDescent="0.3">
      <c r="A783" t="s">
        <v>823</v>
      </c>
      <c r="B783" s="1">
        <v>45978</v>
      </c>
      <c r="C783" t="s">
        <v>38</v>
      </c>
      <c r="D783" t="s">
        <v>27</v>
      </c>
      <c r="E783" t="s">
        <v>64</v>
      </c>
      <c r="F783" t="s">
        <v>24</v>
      </c>
      <c r="G783">
        <v>43</v>
      </c>
      <c r="H783">
        <v>3740</v>
      </c>
      <c r="I783">
        <v>160820</v>
      </c>
      <c r="J783">
        <v>48</v>
      </c>
      <c r="K783">
        <v>6</v>
      </c>
      <c r="L783" t="s">
        <v>17</v>
      </c>
      <c r="M783" t="str">
        <f t="shared" si="24"/>
        <v>Reorder</v>
      </c>
      <c r="N783">
        <f t="shared" si="25"/>
        <v>32164</v>
      </c>
    </row>
    <row r="784" spans="1:14" x14ac:dyDescent="0.3">
      <c r="A784" t="s">
        <v>824</v>
      </c>
      <c r="B784" s="1">
        <v>45884</v>
      </c>
      <c r="C784" t="s">
        <v>38</v>
      </c>
      <c r="D784" t="s">
        <v>14</v>
      </c>
      <c r="E784" t="s">
        <v>20</v>
      </c>
      <c r="F784" t="s">
        <v>16</v>
      </c>
      <c r="G784">
        <v>44</v>
      </c>
      <c r="H784">
        <v>3917</v>
      </c>
      <c r="I784">
        <v>172348</v>
      </c>
      <c r="J784">
        <v>210</v>
      </c>
      <c r="K784">
        <v>2</v>
      </c>
      <c r="L784" t="s">
        <v>22</v>
      </c>
      <c r="M784" t="str">
        <f t="shared" si="24"/>
        <v>Available</v>
      </c>
      <c r="N784">
        <f t="shared" si="25"/>
        <v>34469.599999999999</v>
      </c>
    </row>
    <row r="785" spans="1:14" x14ac:dyDescent="0.3">
      <c r="A785" t="s">
        <v>825</v>
      </c>
      <c r="B785" s="1">
        <v>45935</v>
      </c>
      <c r="C785" t="s">
        <v>26</v>
      </c>
      <c r="D785" t="s">
        <v>27</v>
      </c>
      <c r="E785" t="s">
        <v>34</v>
      </c>
      <c r="F785" t="s">
        <v>21</v>
      </c>
      <c r="G785">
        <v>46</v>
      </c>
      <c r="H785">
        <v>4461</v>
      </c>
      <c r="I785">
        <v>205206</v>
      </c>
      <c r="J785">
        <v>237</v>
      </c>
      <c r="K785">
        <v>4</v>
      </c>
      <c r="L785" t="s">
        <v>22</v>
      </c>
      <c r="M785" t="str">
        <f t="shared" si="24"/>
        <v>Available</v>
      </c>
      <c r="N785">
        <f t="shared" si="25"/>
        <v>41041.200000000004</v>
      </c>
    </row>
    <row r="786" spans="1:14" x14ac:dyDescent="0.3">
      <c r="A786" t="s">
        <v>826</v>
      </c>
      <c r="B786" s="1">
        <v>45673</v>
      </c>
      <c r="C786" t="s">
        <v>19</v>
      </c>
      <c r="D786" t="s">
        <v>51</v>
      </c>
      <c r="E786" t="s">
        <v>66</v>
      </c>
      <c r="F786" t="s">
        <v>16</v>
      </c>
      <c r="G786">
        <v>23</v>
      </c>
      <c r="H786">
        <v>1144</v>
      </c>
      <c r="I786">
        <v>26312</v>
      </c>
      <c r="J786">
        <v>298</v>
      </c>
      <c r="K786">
        <v>4</v>
      </c>
      <c r="L786" t="s">
        <v>22</v>
      </c>
      <c r="M786" t="str">
        <f t="shared" si="24"/>
        <v>Available</v>
      </c>
      <c r="N786">
        <f t="shared" si="25"/>
        <v>5262.4000000000005</v>
      </c>
    </row>
    <row r="787" spans="1:14" x14ac:dyDescent="0.3">
      <c r="A787" t="s">
        <v>827</v>
      </c>
      <c r="B787" s="1">
        <v>45659</v>
      </c>
      <c r="C787" t="s">
        <v>19</v>
      </c>
      <c r="D787" t="s">
        <v>31</v>
      </c>
      <c r="E787" t="s">
        <v>76</v>
      </c>
      <c r="F787" t="s">
        <v>21</v>
      </c>
      <c r="G787">
        <v>31</v>
      </c>
      <c r="H787">
        <v>906</v>
      </c>
      <c r="I787">
        <v>28086</v>
      </c>
      <c r="J787">
        <v>295</v>
      </c>
      <c r="K787">
        <v>6</v>
      </c>
      <c r="L787" t="s">
        <v>17</v>
      </c>
      <c r="M787" t="str">
        <f t="shared" si="24"/>
        <v>Available</v>
      </c>
      <c r="N787">
        <f t="shared" si="25"/>
        <v>5617.2000000000007</v>
      </c>
    </row>
    <row r="788" spans="1:14" x14ac:dyDescent="0.3">
      <c r="A788" t="s">
        <v>828</v>
      </c>
      <c r="B788" s="1">
        <v>45832</v>
      </c>
      <c r="C788" t="s">
        <v>19</v>
      </c>
      <c r="D788" t="s">
        <v>14</v>
      </c>
      <c r="E788" t="s">
        <v>58</v>
      </c>
      <c r="F788" t="s">
        <v>21</v>
      </c>
      <c r="G788">
        <v>30</v>
      </c>
      <c r="H788">
        <v>1059</v>
      </c>
      <c r="I788">
        <v>31770</v>
      </c>
      <c r="J788">
        <v>251</v>
      </c>
      <c r="K788">
        <v>10</v>
      </c>
      <c r="L788" t="s">
        <v>17</v>
      </c>
      <c r="M788" t="str">
        <f t="shared" si="24"/>
        <v>Available</v>
      </c>
      <c r="N788">
        <f t="shared" si="25"/>
        <v>6354</v>
      </c>
    </row>
    <row r="789" spans="1:14" x14ac:dyDescent="0.3">
      <c r="A789" t="s">
        <v>829</v>
      </c>
      <c r="B789" s="1">
        <v>45674</v>
      </c>
      <c r="C789" t="s">
        <v>13</v>
      </c>
      <c r="D789" t="s">
        <v>27</v>
      </c>
      <c r="E789" t="s">
        <v>83</v>
      </c>
      <c r="F789" t="s">
        <v>16</v>
      </c>
      <c r="G789">
        <v>31</v>
      </c>
      <c r="H789">
        <v>1321</v>
      </c>
      <c r="I789">
        <v>40951</v>
      </c>
      <c r="J789">
        <v>101</v>
      </c>
      <c r="K789">
        <v>3</v>
      </c>
      <c r="L789" t="s">
        <v>22</v>
      </c>
      <c r="M789" t="str">
        <f t="shared" si="24"/>
        <v>Available</v>
      </c>
      <c r="N789">
        <f t="shared" si="25"/>
        <v>8190.2000000000007</v>
      </c>
    </row>
    <row r="790" spans="1:14" x14ac:dyDescent="0.3">
      <c r="A790" t="s">
        <v>830</v>
      </c>
      <c r="B790" s="1">
        <v>45992</v>
      </c>
      <c r="C790" t="s">
        <v>19</v>
      </c>
      <c r="D790" t="s">
        <v>14</v>
      </c>
      <c r="E790" t="s">
        <v>20</v>
      </c>
      <c r="F790" t="s">
        <v>16</v>
      </c>
      <c r="G790">
        <v>24</v>
      </c>
      <c r="H790">
        <v>4057</v>
      </c>
      <c r="I790">
        <v>97368</v>
      </c>
      <c r="J790">
        <v>188</v>
      </c>
      <c r="K790">
        <v>10</v>
      </c>
      <c r="L790" t="s">
        <v>17</v>
      </c>
      <c r="M790" t="str">
        <f t="shared" si="24"/>
        <v>Available</v>
      </c>
      <c r="N790">
        <f t="shared" si="25"/>
        <v>19473.600000000002</v>
      </c>
    </row>
    <row r="791" spans="1:14" x14ac:dyDescent="0.3">
      <c r="A791" t="s">
        <v>831</v>
      </c>
      <c r="B791" s="1">
        <v>45920</v>
      </c>
      <c r="C791" t="s">
        <v>13</v>
      </c>
      <c r="D791" t="s">
        <v>51</v>
      </c>
      <c r="E791" t="s">
        <v>56</v>
      </c>
      <c r="F791" t="s">
        <v>16</v>
      </c>
      <c r="G791">
        <v>1</v>
      </c>
      <c r="H791">
        <v>3046</v>
      </c>
      <c r="I791">
        <v>3046</v>
      </c>
      <c r="J791">
        <v>246</v>
      </c>
      <c r="K791">
        <v>4</v>
      </c>
      <c r="L791" t="s">
        <v>22</v>
      </c>
      <c r="M791" t="str">
        <f t="shared" si="24"/>
        <v>Available</v>
      </c>
      <c r="N791">
        <f t="shared" si="25"/>
        <v>609.20000000000005</v>
      </c>
    </row>
    <row r="792" spans="1:14" x14ac:dyDescent="0.3">
      <c r="A792" t="s">
        <v>832</v>
      </c>
      <c r="B792" s="1">
        <v>45720</v>
      </c>
      <c r="C792" t="s">
        <v>26</v>
      </c>
      <c r="D792" t="s">
        <v>51</v>
      </c>
      <c r="E792" t="s">
        <v>90</v>
      </c>
      <c r="F792" t="s">
        <v>21</v>
      </c>
      <c r="G792">
        <v>9</v>
      </c>
      <c r="H792">
        <v>3747</v>
      </c>
      <c r="I792">
        <v>33723</v>
      </c>
      <c r="J792">
        <v>76</v>
      </c>
      <c r="K792">
        <v>9</v>
      </c>
      <c r="L792" t="s">
        <v>17</v>
      </c>
      <c r="M792" t="str">
        <f t="shared" si="24"/>
        <v>Available</v>
      </c>
      <c r="N792">
        <f t="shared" si="25"/>
        <v>6744.6</v>
      </c>
    </row>
    <row r="793" spans="1:14" x14ac:dyDescent="0.3">
      <c r="A793" t="s">
        <v>833</v>
      </c>
      <c r="B793" s="1">
        <v>45832</v>
      </c>
      <c r="C793" t="s">
        <v>26</v>
      </c>
      <c r="D793" t="s">
        <v>31</v>
      </c>
      <c r="E793" t="s">
        <v>32</v>
      </c>
      <c r="F793" t="s">
        <v>29</v>
      </c>
      <c r="G793">
        <v>13</v>
      </c>
      <c r="H793">
        <v>4581</v>
      </c>
      <c r="I793">
        <v>59553</v>
      </c>
      <c r="J793">
        <v>143</v>
      </c>
      <c r="K793">
        <v>8</v>
      </c>
      <c r="L793" t="s">
        <v>17</v>
      </c>
      <c r="M793" t="str">
        <f t="shared" si="24"/>
        <v>Available</v>
      </c>
      <c r="N793">
        <f t="shared" si="25"/>
        <v>11910.6</v>
      </c>
    </row>
    <row r="794" spans="1:14" x14ac:dyDescent="0.3">
      <c r="A794" t="s">
        <v>834</v>
      </c>
      <c r="B794" s="1">
        <v>45750</v>
      </c>
      <c r="C794" t="s">
        <v>38</v>
      </c>
      <c r="D794" t="s">
        <v>14</v>
      </c>
      <c r="E794" t="s">
        <v>20</v>
      </c>
      <c r="F794" t="s">
        <v>21</v>
      </c>
      <c r="G794">
        <v>8</v>
      </c>
      <c r="H794">
        <v>3692</v>
      </c>
      <c r="I794">
        <v>29536</v>
      </c>
      <c r="J794">
        <v>48</v>
      </c>
      <c r="K794">
        <v>2</v>
      </c>
      <c r="L794" t="s">
        <v>22</v>
      </c>
      <c r="M794" t="str">
        <f t="shared" si="24"/>
        <v>Reorder</v>
      </c>
      <c r="N794">
        <f t="shared" si="25"/>
        <v>5907.2000000000007</v>
      </c>
    </row>
    <row r="795" spans="1:14" x14ac:dyDescent="0.3">
      <c r="A795" t="s">
        <v>835</v>
      </c>
      <c r="B795" s="1">
        <v>45952</v>
      </c>
      <c r="C795" t="s">
        <v>19</v>
      </c>
      <c r="D795" t="s">
        <v>27</v>
      </c>
      <c r="E795" t="s">
        <v>28</v>
      </c>
      <c r="F795" t="s">
        <v>16</v>
      </c>
      <c r="G795">
        <v>47</v>
      </c>
      <c r="H795">
        <v>4155</v>
      </c>
      <c r="I795">
        <v>195285</v>
      </c>
      <c r="J795">
        <v>194</v>
      </c>
      <c r="K795">
        <v>6</v>
      </c>
      <c r="L795" t="s">
        <v>17</v>
      </c>
      <c r="M795" t="str">
        <f t="shared" si="24"/>
        <v>Available</v>
      </c>
      <c r="N795">
        <f t="shared" si="25"/>
        <v>39057</v>
      </c>
    </row>
    <row r="796" spans="1:14" x14ac:dyDescent="0.3">
      <c r="A796" t="s">
        <v>836</v>
      </c>
      <c r="B796" s="1">
        <v>45703</v>
      </c>
      <c r="C796" t="s">
        <v>26</v>
      </c>
      <c r="D796" t="s">
        <v>51</v>
      </c>
      <c r="E796" t="s">
        <v>56</v>
      </c>
      <c r="F796" t="s">
        <v>16</v>
      </c>
      <c r="G796">
        <v>19</v>
      </c>
      <c r="H796">
        <v>3572</v>
      </c>
      <c r="I796">
        <v>67868</v>
      </c>
      <c r="J796">
        <v>65</v>
      </c>
      <c r="K796">
        <v>5</v>
      </c>
      <c r="L796" t="s">
        <v>22</v>
      </c>
      <c r="M796" t="str">
        <f t="shared" si="24"/>
        <v>Available</v>
      </c>
      <c r="N796">
        <f t="shared" si="25"/>
        <v>13573.6</v>
      </c>
    </row>
    <row r="797" spans="1:14" x14ac:dyDescent="0.3">
      <c r="A797" t="s">
        <v>837</v>
      </c>
      <c r="B797" s="1">
        <v>45910</v>
      </c>
      <c r="C797" t="s">
        <v>13</v>
      </c>
      <c r="D797" t="s">
        <v>14</v>
      </c>
      <c r="E797" t="s">
        <v>20</v>
      </c>
      <c r="F797" t="s">
        <v>24</v>
      </c>
      <c r="G797">
        <v>14</v>
      </c>
      <c r="H797">
        <v>1489</v>
      </c>
      <c r="I797">
        <v>20846</v>
      </c>
      <c r="J797">
        <v>188</v>
      </c>
      <c r="K797">
        <v>7</v>
      </c>
      <c r="L797" t="s">
        <v>17</v>
      </c>
      <c r="M797" t="str">
        <f t="shared" si="24"/>
        <v>Available</v>
      </c>
      <c r="N797">
        <f t="shared" si="25"/>
        <v>4169.2</v>
      </c>
    </row>
    <row r="798" spans="1:14" x14ac:dyDescent="0.3">
      <c r="A798" t="s">
        <v>838</v>
      </c>
      <c r="B798" s="1">
        <v>45805</v>
      </c>
      <c r="C798" t="s">
        <v>19</v>
      </c>
      <c r="D798" t="s">
        <v>27</v>
      </c>
      <c r="E798" t="s">
        <v>83</v>
      </c>
      <c r="F798" t="s">
        <v>16</v>
      </c>
      <c r="G798">
        <v>18</v>
      </c>
      <c r="H798">
        <v>1095</v>
      </c>
      <c r="I798">
        <v>19710</v>
      </c>
      <c r="J798">
        <v>64</v>
      </c>
      <c r="K798">
        <v>10</v>
      </c>
      <c r="L798" t="s">
        <v>17</v>
      </c>
      <c r="M798" t="str">
        <f t="shared" si="24"/>
        <v>Available</v>
      </c>
      <c r="N798">
        <f t="shared" si="25"/>
        <v>3942</v>
      </c>
    </row>
    <row r="799" spans="1:14" x14ac:dyDescent="0.3">
      <c r="A799" t="s">
        <v>839</v>
      </c>
      <c r="B799" s="1">
        <v>45817</v>
      </c>
      <c r="C799" t="s">
        <v>38</v>
      </c>
      <c r="D799" t="s">
        <v>31</v>
      </c>
      <c r="E799" t="s">
        <v>32</v>
      </c>
      <c r="F799" t="s">
        <v>21</v>
      </c>
      <c r="G799">
        <v>46</v>
      </c>
      <c r="H799">
        <v>2503</v>
      </c>
      <c r="I799">
        <v>115138</v>
      </c>
      <c r="J799">
        <v>143</v>
      </c>
      <c r="K799">
        <v>5</v>
      </c>
      <c r="L799" t="s">
        <v>22</v>
      </c>
      <c r="M799" t="str">
        <f t="shared" si="24"/>
        <v>Available</v>
      </c>
      <c r="N799">
        <f t="shared" si="25"/>
        <v>23027.600000000002</v>
      </c>
    </row>
    <row r="800" spans="1:14" x14ac:dyDescent="0.3">
      <c r="A800" t="s">
        <v>840</v>
      </c>
      <c r="B800" s="1">
        <v>45875</v>
      </c>
      <c r="C800" t="s">
        <v>26</v>
      </c>
      <c r="D800" t="s">
        <v>14</v>
      </c>
      <c r="E800" t="s">
        <v>42</v>
      </c>
      <c r="F800" t="s">
        <v>24</v>
      </c>
      <c r="G800">
        <v>39</v>
      </c>
      <c r="H800">
        <v>4551</v>
      </c>
      <c r="I800">
        <v>177489</v>
      </c>
      <c r="J800">
        <v>160</v>
      </c>
      <c r="K800">
        <v>4</v>
      </c>
      <c r="L800" t="s">
        <v>22</v>
      </c>
      <c r="M800" t="str">
        <f t="shared" si="24"/>
        <v>Available</v>
      </c>
      <c r="N800">
        <f t="shared" si="25"/>
        <v>35497.800000000003</v>
      </c>
    </row>
    <row r="801" spans="1:14" x14ac:dyDescent="0.3">
      <c r="A801" t="s">
        <v>841</v>
      </c>
      <c r="B801" s="1">
        <v>45885</v>
      </c>
      <c r="C801" t="s">
        <v>26</v>
      </c>
      <c r="D801" t="s">
        <v>14</v>
      </c>
      <c r="E801" t="s">
        <v>20</v>
      </c>
      <c r="F801" t="s">
        <v>29</v>
      </c>
      <c r="G801">
        <v>13</v>
      </c>
      <c r="H801">
        <v>4093</v>
      </c>
      <c r="I801">
        <v>53209</v>
      </c>
      <c r="J801">
        <v>238</v>
      </c>
      <c r="K801">
        <v>5</v>
      </c>
      <c r="L801" t="s">
        <v>22</v>
      </c>
      <c r="M801" t="str">
        <f t="shared" si="24"/>
        <v>Available</v>
      </c>
      <c r="N801">
        <f t="shared" si="25"/>
        <v>10641.800000000001</v>
      </c>
    </row>
    <row r="802" spans="1:14" x14ac:dyDescent="0.3">
      <c r="A802" t="s">
        <v>842</v>
      </c>
      <c r="B802" s="1">
        <v>45854</v>
      </c>
      <c r="C802" t="s">
        <v>38</v>
      </c>
      <c r="D802" t="s">
        <v>14</v>
      </c>
      <c r="E802" t="s">
        <v>42</v>
      </c>
      <c r="F802" t="s">
        <v>16</v>
      </c>
      <c r="G802">
        <v>31</v>
      </c>
      <c r="H802">
        <v>1962</v>
      </c>
      <c r="I802">
        <v>60822</v>
      </c>
      <c r="J802">
        <v>140</v>
      </c>
      <c r="K802">
        <v>9</v>
      </c>
      <c r="L802" t="s">
        <v>17</v>
      </c>
      <c r="M802" t="str">
        <f t="shared" si="24"/>
        <v>Available</v>
      </c>
      <c r="N802">
        <f t="shared" si="25"/>
        <v>12164.400000000001</v>
      </c>
    </row>
    <row r="803" spans="1:14" x14ac:dyDescent="0.3">
      <c r="A803" t="s">
        <v>843</v>
      </c>
      <c r="B803" s="1">
        <v>45765</v>
      </c>
      <c r="C803" t="s">
        <v>38</v>
      </c>
      <c r="D803" t="s">
        <v>14</v>
      </c>
      <c r="E803" t="s">
        <v>58</v>
      </c>
      <c r="F803" t="s">
        <v>16</v>
      </c>
      <c r="G803">
        <v>6</v>
      </c>
      <c r="H803">
        <v>1460</v>
      </c>
      <c r="I803">
        <v>8760</v>
      </c>
      <c r="J803">
        <v>78</v>
      </c>
      <c r="K803">
        <v>7</v>
      </c>
      <c r="L803" t="s">
        <v>17</v>
      </c>
      <c r="M803" t="str">
        <f t="shared" si="24"/>
        <v>Available</v>
      </c>
      <c r="N803">
        <f t="shared" si="25"/>
        <v>1752</v>
      </c>
    </row>
    <row r="804" spans="1:14" x14ac:dyDescent="0.3">
      <c r="A804" t="s">
        <v>844</v>
      </c>
      <c r="B804" s="1">
        <v>45983</v>
      </c>
      <c r="C804" t="s">
        <v>38</v>
      </c>
      <c r="D804" t="s">
        <v>31</v>
      </c>
      <c r="E804" t="s">
        <v>76</v>
      </c>
      <c r="F804" t="s">
        <v>29</v>
      </c>
      <c r="G804">
        <v>7</v>
      </c>
      <c r="H804">
        <v>732</v>
      </c>
      <c r="I804">
        <v>5124</v>
      </c>
      <c r="J804">
        <v>76</v>
      </c>
      <c r="K804">
        <v>5</v>
      </c>
      <c r="L804" t="s">
        <v>22</v>
      </c>
      <c r="M804" t="str">
        <f t="shared" si="24"/>
        <v>Available</v>
      </c>
      <c r="N804">
        <f t="shared" si="25"/>
        <v>1024.8</v>
      </c>
    </row>
    <row r="805" spans="1:14" x14ac:dyDescent="0.3">
      <c r="A805" t="s">
        <v>845</v>
      </c>
      <c r="B805" s="1">
        <v>45753</v>
      </c>
      <c r="C805" t="s">
        <v>19</v>
      </c>
      <c r="D805" t="s">
        <v>51</v>
      </c>
      <c r="E805" t="s">
        <v>56</v>
      </c>
      <c r="F805" t="s">
        <v>21</v>
      </c>
      <c r="G805">
        <v>34</v>
      </c>
      <c r="H805">
        <v>3299</v>
      </c>
      <c r="I805">
        <v>112166</v>
      </c>
      <c r="J805">
        <v>89</v>
      </c>
      <c r="K805">
        <v>9</v>
      </c>
      <c r="L805" t="s">
        <v>17</v>
      </c>
      <c r="M805" t="str">
        <f t="shared" si="24"/>
        <v>Available</v>
      </c>
      <c r="N805">
        <f t="shared" si="25"/>
        <v>22433.200000000001</v>
      </c>
    </row>
    <row r="806" spans="1:14" x14ac:dyDescent="0.3">
      <c r="A806" t="s">
        <v>846</v>
      </c>
      <c r="B806" s="1">
        <v>45750</v>
      </c>
      <c r="C806" t="s">
        <v>38</v>
      </c>
      <c r="D806" t="s">
        <v>14</v>
      </c>
      <c r="E806" t="s">
        <v>20</v>
      </c>
      <c r="F806" t="s">
        <v>24</v>
      </c>
      <c r="G806">
        <v>26</v>
      </c>
      <c r="H806">
        <v>2431</v>
      </c>
      <c r="I806">
        <v>63206</v>
      </c>
      <c r="J806">
        <v>157</v>
      </c>
      <c r="K806">
        <v>7</v>
      </c>
      <c r="L806" t="s">
        <v>17</v>
      </c>
      <c r="M806" t="str">
        <f t="shared" si="24"/>
        <v>Available</v>
      </c>
      <c r="N806">
        <f t="shared" si="25"/>
        <v>12641.2</v>
      </c>
    </row>
    <row r="807" spans="1:14" x14ac:dyDescent="0.3">
      <c r="A807" t="s">
        <v>847</v>
      </c>
      <c r="B807" s="1">
        <v>45758</v>
      </c>
      <c r="C807" t="s">
        <v>13</v>
      </c>
      <c r="D807" t="s">
        <v>51</v>
      </c>
      <c r="E807" t="s">
        <v>52</v>
      </c>
      <c r="F807" t="s">
        <v>24</v>
      </c>
      <c r="G807">
        <v>30</v>
      </c>
      <c r="H807">
        <v>2388</v>
      </c>
      <c r="I807">
        <v>71640</v>
      </c>
      <c r="J807">
        <v>169</v>
      </c>
      <c r="K807">
        <v>7</v>
      </c>
      <c r="L807" t="s">
        <v>17</v>
      </c>
      <c r="M807" t="str">
        <f t="shared" si="24"/>
        <v>Available</v>
      </c>
      <c r="N807">
        <f t="shared" si="25"/>
        <v>14328</v>
      </c>
    </row>
    <row r="808" spans="1:14" x14ac:dyDescent="0.3">
      <c r="A808" t="s">
        <v>848</v>
      </c>
      <c r="B808" s="1">
        <v>45879</v>
      </c>
      <c r="C808" t="s">
        <v>26</v>
      </c>
      <c r="D808" t="s">
        <v>31</v>
      </c>
      <c r="E808" t="s">
        <v>32</v>
      </c>
      <c r="F808" t="s">
        <v>21</v>
      </c>
      <c r="G808">
        <v>20</v>
      </c>
      <c r="H808">
        <v>704</v>
      </c>
      <c r="I808">
        <v>14080</v>
      </c>
      <c r="J808">
        <v>28</v>
      </c>
      <c r="K808">
        <v>3</v>
      </c>
      <c r="L808" t="s">
        <v>22</v>
      </c>
      <c r="M808" t="str">
        <f t="shared" si="24"/>
        <v>Reorder</v>
      </c>
      <c r="N808">
        <f t="shared" si="25"/>
        <v>2816</v>
      </c>
    </row>
    <row r="809" spans="1:14" x14ac:dyDescent="0.3">
      <c r="A809" t="s">
        <v>849</v>
      </c>
      <c r="B809" s="1">
        <v>45781</v>
      </c>
      <c r="C809" t="s">
        <v>26</v>
      </c>
      <c r="D809" t="s">
        <v>51</v>
      </c>
      <c r="E809" t="s">
        <v>52</v>
      </c>
      <c r="F809" t="s">
        <v>16</v>
      </c>
      <c r="G809">
        <v>3</v>
      </c>
      <c r="H809">
        <v>3410</v>
      </c>
      <c r="I809">
        <v>10230</v>
      </c>
      <c r="J809">
        <v>284</v>
      </c>
      <c r="K809">
        <v>3</v>
      </c>
      <c r="L809" t="s">
        <v>22</v>
      </c>
      <c r="M809" t="str">
        <f t="shared" si="24"/>
        <v>Available</v>
      </c>
      <c r="N809">
        <f t="shared" si="25"/>
        <v>2046</v>
      </c>
    </row>
    <row r="810" spans="1:14" x14ac:dyDescent="0.3">
      <c r="A810" t="s">
        <v>850</v>
      </c>
      <c r="B810" s="1">
        <v>45937</v>
      </c>
      <c r="C810" t="s">
        <v>38</v>
      </c>
      <c r="D810" t="s">
        <v>51</v>
      </c>
      <c r="E810" t="s">
        <v>56</v>
      </c>
      <c r="F810" t="s">
        <v>29</v>
      </c>
      <c r="G810">
        <v>36</v>
      </c>
      <c r="H810">
        <v>1108</v>
      </c>
      <c r="I810">
        <v>39888</v>
      </c>
      <c r="J810">
        <v>47</v>
      </c>
      <c r="K810">
        <v>10</v>
      </c>
      <c r="L810" t="s">
        <v>17</v>
      </c>
      <c r="M810" t="str">
        <f t="shared" si="24"/>
        <v>Reorder</v>
      </c>
      <c r="N810">
        <f t="shared" si="25"/>
        <v>7977.6</v>
      </c>
    </row>
    <row r="811" spans="1:14" x14ac:dyDescent="0.3">
      <c r="A811" t="s">
        <v>851</v>
      </c>
      <c r="B811" s="1">
        <v>45747</v>
      </c>
      <c r="C811" t="s">
        <v>26</v>
      </c>
      <c r="D811" t="s">
        <v>51</v>
      </c>
      <c r="E811" t="s">
        <v>52</v>
      </c>
      <c r="F811" t="s">
        <v>29</v>
      </c>
      <c r="G811">
        <v>30</v>
      </c>
      <c r="H811">
        <v>4502</v>
      </c>
      <c r="I811">
        <v>135060</v>
      </c>
      <c r="J811">
        <v>38</v>
      </c>
      <c r="K811">
        <v>7</v>
      </c>
      <c r="L811" t="s">
        <v>17</v>
      </c>
      <c r="M811" t="str">
        <f t="shared" si="24"/>
        <v>Reorder</v>
      </c>
      <c r="N811">
        <f t="shared" si="25"/>
        <v>27012</v>
      </c>
    </row>
    <row r="812" spans="1:14" x14ac:dyDescent="0.3">
      <c r="A812" t="s">
        <v>852</v>
      </c>
      <c r="B812" s="1">
        <v>45718</v>
      </c>
      <c r="C812" t="s">
        <v>13</v>
      </c>
      <c r="D812" t="s">
        <v>27</v>
      </c>
      <c r="E812" t="s">
        <v>64</v>
      </c>
      <c r="F812" t="s">
        <v>29</v>
      </c>
      <c r="G812">
        <v>36</v>
      </c>
      <c r="H812">
        <v>748</v>
      </c>
      <c r="I812">
        <v>26928</v>
      </c>
      <c r="J812">
        <v>198</v>
      </c>
      <c r="K812">
        <v>8</v>
      </c>
      <c r="L812" t="s">
        <v>17</v>
      </c>
      <c r="M812" t="str">
        <f t="shared" si="24"/>
        <v>Available</v>
      </c>
      <c r="N812">
        <f t="shared" si="25"/>
        <v>5385.6</v>
      </c>
    </row>
    <row r="813" spans="1:14" x14ac:dyDescent="0.3">
      <c r="A813" t="s">
        <v>853</v>
      </c>
      <c r="B813" s="1">
        <v>45878</v>
      </c>
      <c r="C813" t="s">
        <v>19</v>
      </c>
      <c r="D813" t="s">
        <v>27</v>
      </c>
      <c r="E813" t="s">
        <v>34</v>
      </c>
      <c r="F813" t="s">
        <v>16</v>
      </c>
      <c r="G813">
        <v>13</v>
      </c>
      <c r="H813">
        <v>4480</v>
      </c>
      <c r="I813">
        <v>58240</v>
      </c>
      <c r="J813">
        <v>112</v>
      </c>
      <c r="K813">
        <v>3</v>
      </c>
      <c r="L813" t="s">
        <v>22</v>
      </c>
      <c r="M813" t="str">
        <f t="shared" si="24"/>
        <v>Available</v>
      </c>
      <c r="N813">
        <f t="shared" si="25"/>
        <v>11648</v>
      </c>
    </row>
    <row r="814" spans="1:14" x14ac:dyDescent="0.3">
      <c r="A814" t="s">
        <v>854</v>
      </c>
      <c r="B814" s="1">
        <v>45712</v>
      </c>
      <c r="C814" t="s">
        <v>19</v>
      </c>
      <c r="D814" t="s">
        <v>31</v>
      </c>
      <c r="E814" t="s">
        <v>45</v>
      </c>
      <c r="F814" t="s">
        <v>21</v>
      </c>
      <c r="G814">
        <v>14</v>
      </c>
      <c r="H814">
        <v>3605</v>
      </c>
      <c r="I814">
        <v>50470</v>
      </c>
      <c r="J814">
        <v>113</v>
      </c>
      <c r="K814">
        <v>7</v>
      </c>
      <c r="L814" t="s">
        <v>17</v>
      </c>
      <c r="M814" t="str">
        <f t="shared" si="24"/>
        <v>Available</v>
      </c>
      <c r="N814">
        <f t="shared" si="25"/>
        <v>10094</v>
      </c>
    </row>
    <row r="815" spans="1:14" x14ac:dyDescent="0.3">
      <c r="A815" t="s">
        <v>855</v>
      </c>
      <c r="B815" s="1">
        <v>45927</v>
      </c>
      <c r="C815" t="s">
        <v>26</v>
      </c>
      <c r="D815" t="s">
        <v>51</v>
      </c>
      <c r="E815" t="s">
        <v>90</v>
      </c>
      <c r="F815" t="s">
        <v>29</v>
      </c>
      <c r="G815">
        <v>25</v>
      </c>
      <c r="H815">
        <v>4022</v>
      </c>
      <c r="I815">
        <v>100550</v>
      </c>
      <c r="J815">
        <v>272</v>
      </c>
      <c r="K815">
        <v>9</v>
      </c>
      <c r="L815" t="s">
        <v>17</v>
      </c>
      <c r="M815" t="str">
        <f t="shared" si="24"/>
        <v>Available</v>
      </c>
      <c r="N815">
        <f t="shared" si="25"/>
        <v>20110</v>
      </c>
    </row>
    <row r="816" spans="1:14" x14ac:dyDescent="0.3">
      <c r="A816" t="s">
        <v>856</v>
      </c>
      <c r="B816" s="1">
        <v>45765</v>
      </c>
      <c r="C816" t="s">
        <v>13</v>
      </c>
      <c r="D816" t="s">
        <v>27</v>
      </c>
      <c r="E816" t="s">
        <v>83</v>
      </c>
      <c r="F816" t="s">
        <v>29</v>
      </c>
      <c r="G816">
        <v>46</v>
      </c>
      <c r="H816">
        <v>3372</v>
      </c>
      <c r="I816">
        <v>155112</v>
      </c>
      <c r="J816">
        <v>286</v>
      </c>
      <c r="K816">
        <v>2</v>
      </c>
      <c r="L816" t="s">
        <v>22</v>
      </c>
      <c r="M816" t="str">
        <f t="shared" si="24"/>
        <v>Available</v>
      </c>
      <c r="N816">
        <f t="shared" si="25"/>
        <v>31022.400000000001</v>
      </c>
    </row>
    <row r="817" spans="1:14" x14ac:dyDescent="0.3">
      <c r="A817" t="s">
        <v>857</v>
      </c>
      <c r="B817" s="1">
        <v>45733</v>
      </c>
      <c r="C817" t="s">
        <v>26</v>
      </c>
      <c r="D817" t="s">
        <v>14</v>
      </c>
      <c r="E817" t="s">
        <v>58</v>
      </c>
      <c r="F817" t="s">
        <v>29</v>
      </c>
      <c r="G817">
        <v>29</v>
      </c>
      <c r="H817">
        <v>1916</v>
      </c>
      <c r="I817">
        <v>55564</v>
      </c>
      <c r="J817">
        <v>208</v>
      </c>
      <c r="K817">
        <v>9</v>
      </c>
      <c r="L817" t="s">
        <v>17</v>
      </c>
      <c r="M817" t="str">
        <f t="shared" si="24"/>
        <v>Available</v>
      </c>
      <c r="N817">
        <f t="shared" si="25"/>
        <v>11112.800000000001</v>
      </c>
    </row>
    <row r="818" spans="1:14" x14ac:dyDescent="0.3">
      <c r="A818" t="s">
        <v>858</v>
      </c>
      <c r="B818" s="1">
        <v>45883</v>
      </c>
      <c r="C818" t="s">
        <v>26</v>
      </c>
      <c r="D818" t="s">
        <v>27</v>
      </c>
      <c r="E818" t="s">
        <v>28</v>
      </c>
      <c r="F818" t="s">
        <v>16</v>
      </c>
      <c r="G818">
        <v>31</v>
      </c>
      <c r="H818">
        <v>1261</v>
      </c>
      <c r="I818">
        <v>39091</v>
      </c>
      <c r="J818">
        <v>145</v>
      </c>
      <c r="K818">
        <v>3</v>
      </c>
      <c r="L818" t="s">
        <v>22</v>
      </c>
      <c r="M818" t="str">
        <f t="shared" si="24"/>
        <v>Available</v>
      </c>
      <c r="N818">
        <f t="shared" si="25"/>
        <v>7818.2000000000007</v>
      </c>
    </row>
    <row r="819" spans="1:14" x14ac:dyDescent="0.3">
      <c r="A819" t="s">
        <v>859</v>
      </c>
      <c r="B819" s="1">
        <v>45878</v>
      </c>
      <c r="C819" t="s">
        <v>26</v>
      </c>
      <c r="D819" t="s">
        <v>14</v>
      </c>
      <c r="E819" t="s">
        <v>15</v>
      </c>
      <c r="F819" t="s">
        <v>16</v>
      </c>
      <c r="G819">
        <v>16</v>
      </c>
      <c r="H819">
        <v>2396</v>
      </c>
      <c r="I819">
        <v>38336</v>
      </c>
      <c r="J819">
        <v>56</v>
      </c>
      <c r="K819">
        <v>6</v>
      </c>
      <c r="L819" t="s">
        <v>17</v>
      </c>
      <c r="M819" t="str">
        <f t="shared" si="24"/>
        <v>Available</v>
      </c>
      <c r="N819">
        <f t="shared" si="25"/>
        <v>7667.2000000000007</v>
      </c>
    </row>
    <row r="820" spans="1:14" x14ac:dyDescent="0.3">
      <c r="A820" t="s">
        <v>860</v>
      </c>
      <c r="B820" s="1">
        <v>45957</v>
      </c>
      <c r="C820" t="s">
        <v>26</v>
      </c>
      <c r="D820" t="s">
        <v>14</v>
      </c>
      <c r="E820" t="s">
        <v>58</v>
      </c>
      <c r="F820" t="s">
        <v>24</v>
      </c>
      <c r="G820">
        <v>34</v>
      </c>
      <c r="H820">
        <v>1432</v>
      </c>
      <c r="I820">
        <v>48688</v>
      </c>
      <c r="J820">
        <v>216</v>
      </c>
      <c r="K820">
        <v>9</v>
      </c>
      <c r="L820" t="s">
        <v>17</v>
      </c>
      <c r="M820" t="str">
        <f t="shared" si="24"/>
        <v>Available</v>
      </c>
      <c r="N820">
        <f t="shared" si="25"/>
        <v>9737.6</v>
      </c>
    </row>
    <row r="821" spans="1:14" x14ac:dyDescent="0.3">
      <c r="A821" t="s">
        <v>861</v>
      </c>
      <c r="B821" s="1">
        <v>45745</v>
      </c>
      <c r="C821" t="s">
        <v>38</v>
      </c>
      <c r="D821" t="s">
        <v>51</v>
      </c>
      <c r="E821" t="s">
        <v>56</v>
      </c>
      <c r="F821" t="s">
        <v>16</v>
      </c>
      <c r="G821">
        <v>6</v>
      </c>
      <c r="H821">
        <v>1617</v>
      </c>
      <c r="I821">
        <v>9702</v>
      </c>
      <c r="J821">
        <v>39</v>
      </c>
      <c r="K821">
        <v>2</v>
      </c>
      <c r="L821" t="s">
        <v>22</v>
      </c>
      <c r="M821" t="str">
        <f t="shared" si="24"/>
        <v>Reorder</v>
      </c>
      <c r="N821">
        <f t="shared" si="25"/>
        <v>1940.4</v>
      </c>
    </row>
    <row r="822" spans="1:14" x14ac:dyDescent="0.3">
      <c r="A822" t="s">
        <v>862</v>
      </c>
      <c r="B822" s="1">
        <v>45942</v>
      </c>
      <c r="C822" t="s">
        <v>13</v>
      </c>
      <c r="D822" t="s">
        <v>51</v>
      </c>
      <c r="E822" t="s">
        <v>90</v>
      </c>
      <c r="F822" t="s">
        <v>24</v>
      </c>
      <c r="G822">
        <v>27</v>
      </c>
      <c r="H822">
        <v>665</v>
      </c>
      <c r="I822">
        <v>17955</v>
      </c>
      <c r="J822">
        <v>181</v>
      </c>
      <c r="K822">
        <v>3</v>
      </c>
      <c r="L822" t="s">
        <v>22</v>
      </c>
      <c r="M822" t="str">
        <f t="shared" si="24"/>
        <v>Available</v>
      </c>
      <c r="N822">
        <f t="shared" si="25"/>
        <v>3591</v>
      </c>
    </row>
    <row r="823" spans="1:14" x14ac:dyDescent="0.3">
      <c r="A823" t="s">
        <v>863</v>
      </c>
      <c r="B823" s="1">
        <v>45985</v>
      </c>
      <c r="C823" t="s">
        <v>13</v>
      </c>
      <c r="D823" t="s">
        <v>31</v>
      </c>
      <c r="E823" t="s">
        <v>32</v>
      </c>
      <c r="F823" t="s">
        <v>21</v>
      </c>
      <c r="G823">
        <v>21</v>
      </c>
      <c r="H823">
        <v>1971</v>
      </c>
      <c r="I823">
        <v>41391</v>
      </c>
      <c r="J823">
        <v>199</v>
      </c>
      <c r="K823">
        <v>10</v>
      </c>
      <c r="L823" t="s">
        <v>17</v>
      </c>
      <c r="M823" t="str">
        <f t="shared" si="24"/>
        <v>Available</v>
      </c>
      <c r="N823">
        <f t="shared" si="25"/>
        <v>8278.2000000000007</v>
      </c>
    </row>
    <row r="824" spans="1:14" x14ac:dyDescent="0.3">
      <c r="A824" t="s">
        <v>864</v>
      </c>
      <c r="B824" s="1">
        <v>45837</v>
      </c>
      <c r="C824" t="s">
        <v>26</v>
      </c>
      <c r="D824" t="s">
        <v>14</v>
      </c>
      <c r="E824" t="s">
        <v>58</v>
      </c>
      <c r="F824" t="s">
        <v>24</v>
      </c>
      <c r="G824">
        <v>48</v>
      </c>
      <c r="H824">
        <v>1464</v>
      </c>
      <c r="I824">
        <v>70272</v>
      </c>
      <c r="J824">
        <v>106</v>
      </c>
      <c r="K824">
        <v>7</v>
      </c>
      <c r="L824" t="s">
        <v>17</v>
      </c>
      <c r="M824" t="str">
        <f t="shared" si="24"/>
        <v>Available</v>
      </c>
      <c r="N824">
        <f t="shared" si="25"/>
        <v>14054.400000000001</v>
      </c>
    </row>
    <row r="825" spans="1:14" x14ac:dyDescent="0.3">
      <c r="A825" t="s">
        <v>865</v>
      </c>
      <c r="B825" s="1">
        <v>45913</v>
      </c>
      <c r="C825" t="s">
        <v>13</v>
      </c>
      <c r="D825" t="s">
        <v>51</v>
      </c>
      <c r="E825" t="s">
        <v>52</v>
      </c>
      <c r="F825" t="s">
        <v>21</v>
      </c>
      <c r="G825">
        <v>1</v>
      </c>
      <c r="H825">
        <v>1753</v>
      </c>
      <c r="I825">
        <v>1753</v>
      </c>
      <c r="J825">
        <v>28</v>
      </c>
      <c r="K825">
        <v>8</v>
      </c>
      <c r="L825" t="s">
        <v>17</v>
      </c>
      <c r="M825" t="str">
        <f t="shared" si="24"/>
        <v>Reorder</v>
      </c>
      <c r="N825">
        <f t="shared" si="25"/>
        <v>350.6</v>
      </c>
    </row>
    <row r="826" spans="1:14" x14ac:dyDescent="0.3">
      <c r="A826" t="s">
        <v>866</v>
      </c>
      <c r="B826" s="1">
        <v>45673</v>
      </c>
      <c r="C826" t="s">
        <v>13</v>
      </c>
      <c r="D826" t="s">
        <v>51</v>
      </c>
      <c r="E826" t="s">
        <v>52</v>
      </c>
      <c r="F826" t="s">
        <v>21</v>
      </c>
      <c r="G826">
        <v>12</v>
      </c>
      <c r="H826">
        <v>944</v>
      </c>
      <c r="I826">
        <v>11328</v>
      </c>
      <c r="J826">
        <v>161</v>
      </c>
      <c r="K826">
        <v>9</v>
      </c>
      <c r="L826" t="s">
        <v>17</v>
      </c>
      <c r="M826" t="str">
        <f t="shared" si="24"/>
        <v>Available</v>
      </c>
      <c r="N826">
        <f t="shared" si="25"/>
        <v>2265.6</v>
      </c>
    </row>
    <row r="827" spans="1:14" x14ac:dyDescent="0.3">
      <c r="A827" t="s">
        <v>867</v>
      </c>
      <c r="B827" s="1">
        <v>45659</v>
      </c>
      <c r="C827" t="s">
        <v>26</v>
      </c>
      <c r="D827" t="s">
        <v>14</v>
      </c>
      <c r="E827" t="s">
        <v>20</v>
      </c>
      <c r="F827" t="s">
        <v>21</v>
      </c>
      <c r="G827">
        <v>28</v>
      </c>
      <c r="H827">
        <v>930</v>
      </c>
      <c r="I827">
        <v>26040</v>
      </c>
      <c r="J827">
        <v>111</v>
      </c>
      <c r="K827">
        <v>3</v>
      </c>
      <c r="L827" t="s">
        <v>22</v>
      </c>
      <c r="M827" t="str">
        <f t="shared" si="24"/>
        <v>Available</v>
      </c>
      <c r="N827">
        <f t="shared" si="25"/>
        <v>5208</v>
      </c>
    </row>
    <row r="828" spans="1:14" x14ac:dyDescent="0.3">
      <c r="A828" t="s">
        <v>868</v>
      </c>
      <c r="B828" s="1">
        <v>45832</v>
      </c>
      <c r="C828" t="s">
        <v>26</v>
      </c>
      <c r="D828" t="s">
        <v>31</v>
      </c>
      <c r="E828" t="s">
        <v>76</v>
      </c>
      <c r="F828" t="s">
        <v>21</v>
      </c>
      <c r="G828">
        <v>7</v>
      </c>
      <c r="H828">
        <v>4556</v>
      </c>
      <c r="I828">
        <v>31892</v>
      </c>
      <c r="J828">
        <v>239</v>
      </c>
      <c r="K828">
        <v>2</v>
      </c>
      <c r="L828" t="s">
        <v>22</v>
      </c>
      <c r="M828" t="str">
        <f t="shared" si="24"/>
        <v>Available</v>
      </c>
      <c r="N828">
        <f t="shared" si="25"/>
        <v>6378.4000000000005</v>
      </c>
    </row>
    <row r="829" spans="1:14" x14ac:dyDescent="0.3">
      <c r="A829" t="s">
        <v>869</v>
      </c>
      <c r="B829" s="1">
        <v>45705</v>
      </c>
      <c r="C829" t="s">
        <v>19</v>
      </c>
      <c r="D829" t="s">
        <v>14</v>
      </c>
      <c r="E829" t="s">
        <v>58</v>
      </c>
      <c r="F829" t="s">
        <v>16</v>
      </c>
      <c r="G829">
        <v>30</v>
      </c>
      <c r="H829">
        <v>3401</v>
      </c>
      <c r="I829">
        <v>102030</v>
      </c>
      <c r="J829">
        <v>265</v>
      </c>
      <c r="K829">
        <v>6</v>
      </c>
      <c r="L829" t="s">
        <v>17</v>
      </c>
      <c r="M829" t="str">
        <f t="shared" si="24"/>
        <v>Available</v>
      </c>
      <c r="N829">
        <f t="shared" si="25"/>
        <v>20406</v>
      </c>
    </row>
    <row r="830" spans="1:14" x14ac:dyDescent="0.3">
      <c r="A830" t="s">
        <v>870</v>
      </c>
      <c r="B830" s="1">
        <v>45849</v>
      </c>
      <c r="C830" t="s">
        <v>13</v>
      </c>
      <c r="D830" t="s">
        <v>14</v>
      </c>
      <c r="E830" t="s">
        <v>20</v>
      </c>
      <c r="F830" t="s">
        <v>24</v>
      </c>
      <c r="G830">
        <v>3</v>
      </c>
      <c r="H830">
        <v>4757</v>
      </c>
      <c r="I830">
        <v>14271</v>
      </c>
      <c r="J830">
        <v>299</v>
      </c>
      <c r="K830">
        <v>5</v>
      </c>
      <c r="L830" t="s">
        <v>22</v>
      </c>
      <c r="M830" t="str">
        <f t="shared" si="24"/>
        <v>Available</v>
      </c>
      <c r="N830">
        <f t="shared" si="25"/>
        <v>2854.2000000000003</v>
      </c>
    </row>
    <row r="831" spans="1:14" x14ac:dyDescent="0.3">
      <c r="A831" t="s">
        <v>871</v>
      </c>
      <c r="B831" s="1">
        <v>45679</v>
      </c>
      <c r="C831" t="s">
        <v>26</v>
      </c>
      <c r="D831" t="s">
        <v>27</v>
      </c>
      <c r="E831" t="s">
        <v>28</v>
      </c>
      <c r="F831" t="s">
        <v>29</v>
      </c>
      <c r="G831">
        <v>11</v>
      </c>
      <c r="H831">
        <v>2271</v>
      </c>
      <c r="I831">
        <v>24981</v>
      </c>
      <c r="J831">
        <v>188</v>
      </c>
      <c r="K831">
        <v>3</v>
      </c>
      <c r="L831" t="s">
        <v>22</v>
      </c>
      <c r="M831" t="str">
        <f t="shared" si="24"/>
        <v>Available</v>
      </c>
      <c r="N831">
        <f t="shared" si="25"/>
        <v>4996.2000000000007</v>
      </c>
    </row>
    <row r="832" spans="1:14" x14ac:dyDescent="0.3">
      <c r="A832" t="s">
        <v>872</v>
      </c>
      <c r="B832" s="1">
        <v>45782</v>
      </c>
      <c r="C832" t="s">
        <v>38</v>
      </c>
      <c r="D832" t="s">
        <v>31</v>
      </c>
      <c r="E832" t="s">
        <v>32</v>
      </c>
      <c r="F832" t="s">
        <v>16</v>
      </c>
      <c r="G832">
        <v>32</v>
      </c>
      <c r="H832">
        <v>3961</v>
      </c>
      <c r="I832">
        <v>126752</v>
      </c>
      <c r="J832">
        <v>141</v>
      </c>
      <c r="K832">
        <v>9</v>
      </c>
      <c r="L832" t="s">
        <v>17</v>
      </c>
      <c r="M832" t="str">
        <f t="shared" si="24"/>
        <v>Available</v>
      </c>
      <c r="N832">
        <f t="shared" si="25"/>
        <v>25350.400000000001</v>
      </c>
    </row>
    <row r="833" spans="1:14" x14ac:dyDescent="0.3">
      <c r="A833" t="s">
        <v>873</v>
      </c>
      <c r="B833" s="1">
        <v>46005</v>
      </c>
      <c r="C833" t="s">
        <v>38</v>
      </c>
      <c r="D833" t="s">
        <v>31</v>
      </c>
      <c r="E833" t="s">
        <v>32</v>
      </c>
      <c r="F833" t="s">
        <v>24</v>
      </c>
      <c r="G833">
        <v>35</v>
      </c>
      <c r="H833">
        <v>4770</v>
      </c>
      <c r="I833">
        <v>166950</v>
      </c>
      <c r="J833">
        <v>231</v>
      </c>
      <c r="K833">
        <v>7</v>
      </c>
      <c r="L833" t="s">
        <v>17</v>
      </c>
      <c r="M833" t="str">
        <f t="shared" si="24"/>
        <v>Available</v>
      </c>
      <c r="N833">
        <f t="shared" si="25"/>
        <v>33390</v>
      </c>
    </row>
    <row r="834" spans="1:14" x14ac:dyDescent="0.3">
      <c r="A834" t="s">
        <v>874</v>
      </c>
      <c r="B834" s="1">
        <v>45664</v>
      </c>
      <c r="C834" t="s">
        <v>19</v>
      </c>
      <c r="D834" t="s">
        <v>27</v>
      </c>
      <c r="E834" t="s">
        <v>83</v>
      </c>
      <c r="F834" t="s">
        <v>24</v>
      </c>
      <c r="G834">
        <v>49</v>
      </c>
      <c r="H834">
        <v>1445</v>
      </c>
      <c r="I834">
        <v>70805</v>
      </c>
      <c r="J834">
        <v>157</v>
      </c>
      <c r="K834">
        <v>4</v>
      </c>
      <c r="L834" t="s">
        <v>22</v>
      </c>
      <c r="M834" t="str">
        <f t="shared" si="24"/>
        <v>Available</v>
      </c>
      <c r="N834">
        <f t="shared" si="25"/>
        <v>14161</v>
      </c>
    </row>
    <row r="835" spans="1:14" x14ac:dyDescent="0.3">
      <c r="A835" t="s">
        <v>875</v>
      </c>
      <c r="B835" s="1">
        <v>45839</v>
      </c>
      <c r="C835" t="s">
        <v>19</v>
      </c>
      <c r="D835" t="s">
        <v>14</v>
      </c>
      <c r="E835" t="s">
        <v>15</v>
      </c>
      <c r="F835" t="s">
        <v>16</v>
      </c>
      <c r="G835">
        <v>50</v>
      </c>
      <c r="H835">
        <v>2794</v>
      </c>
      <c r="I835">
        <v>139700</v>
      </c>
      <c r="J835">
        <v>114</v>
      </c>
      <c r="K835">
        <v>7</v>
      </c>
      <c r="L835" t="s">
        <v>17</v>
      </c>
      <c r="M835" t="str">
        <f t="shared" ref="M835:M898" si="26">IF(J835&lt;50,"Reorder","Available")</f>
        <v>Available</v>
      </c>
      <c r="N835">
        <f t="shared" ref="N835:N898" si="27">I835*20%</f>
        <v>27940</v>
      </c>
    </row>
    <row r="836" spans="1:14" x14ac:dyDescent="0.3">
      <c r="A836" t="s">
        <v>876</v>
      </c>
      <c r="B836" s="1">
        <v>45689</v>
      </c>
      <c r="C836" t="s">
        <v>26</v>
      </c>
      <c r="D836" t="s">
        <v>27</v>
      </c>
      <c r="E836" t="s">
        <v>64</v>
      </c>
      <c r="F836" t="s">
        <v>24</v>
      </c>
      <c r="G836">
        <v>18</v>
      </c>
      <c r="H836">
        <v>571</v>
      </c>
      <c r="I836">
        <v>10278</v>
      </c>
      <c r="J836">
        <v>84</v>
      </c>
      <c r="K836">
        <v>9</v>
      </c>
      <c r="L836" t="s">
        <v>17</v>
      </c>
      <c r="M836" t="str">
        <f t="shared" si="26"/>
        <v>Available</v>
      </c>
      <c r="N836">
        <f t="shared" si="27"/>
        <v>2055.6</v>
      </c>
    </row>
    <row r="837" spans="1:14" x14ac:dyDescent="0.3">
      <c r="A837" t="s">
        <v>877</v>
      </c>
      <c r="B837" s="1">
        <v>45869</v>
      </c>
      <c r="C837" t="s">
        <v>19</v>
      </c>
      <c r="D837" t="s">
        <v>27</v>
      </c>
      <c r="E837" t="s">
        <v>28</v>
      </c>
      <c r="F837" t="s">
        <v>16</v>
      </c>
      <c r="G837">
        <v>31</v>
      </c>
      <c r="H837">
        <v>946</v>
      </c>
      <c r="I837">
        <v>29326</v>
      </c>
      <c r="J837">
        <v>266</v>
      </c>
      <c r="K837">
        <v>3</v>
      </c>
      <c r="L837" t="s">
        <v>22</v>
      </c>
      <c r="M837" t="str">
        <f t="shared" si="26"/>
        <v>Available</v>
      </c>
      <c r="N837">
        <f t="shared" si="27"/>
        <v>5865.2000000000007</v>
      </c>
    </row>
    <row r="838" spans="1:14" x14ac:dyDescent="0.3">
      <c r="A838" t="s">
        <v>878</v>
      </c>
      <c r="B838" s="1">
        <v>45873</v>
      </c>
      <c r="C838" t="s">
        <v>26</v>
      </c>
      <c r="D838" t="s">
        <v>27</v>
      </c>
      <c r="E838" t="s">
        <v>64</v>
      </c>
      <c r="F838" t="s">
        <v>21</v>
      </c>
      <c r="G838">
        <v>3</v>
      </c>
      <c r="H838">
        <v>3094</v>
      </c>
      <c r="I838">
        <v>9282</v>
      </c>
      <c r="J838">
        <v>36</v>
      </c>
      <c r="K838">
        <v>10</v>
      </c>
      <c r="L838" t="s">
        <v>17</v>
      </c>
      <c r="M838" t="str">
        <f t="shared" si="26"/>
        <v>Reorder</v>
      </c>
      <c r="N838">
        <f t="shared" si="27"/>
        <v>1856.4</v>
      </c>
    </row>
    <row r="839" spans="1:14" x14ac:dyDescent="0.3">
      <c r="A839" t="s">
        <v>879</v>
      </c>
      <c r="B839" s="1">
        <v>46001</v>
      </c>
      <c r="C839" t="s">
        <v>13</v>
      </c>
      <c r="D839" t="s">
        <v>31</v>
      </c>
      <c r="E839" t="s">
        <v>32</v>
      </c>
      <c r="F839" t="s">
        <v>21</v>
      </c>
      <c r="G839">
        <v>8</v>
      </c>
      <c r="H839">
        <v>4875</v>
      </c>
      <c r="I839">
        <v>39000</v>
      </c>
      <c r="J839">
        <v>180</v>
      </c>
      <c r="K839">
        <v>8</v>
      </c>
      <c r="L839" t="s">
        <v>17</v>
      </c>
      <c r="M839" t="str">
        <f t="shared" si="26"/>
        <v>Available</v>
      </c>
      <c r="N839">
        <f t="shared" si="27"/>
        <v>7800</v>
      </c>
    </row>
    <row r="840" spans="1:14" x14ac:dyDescent="0.3">
      <c r="A840" t="s">
        <v>880</v>
      </c>
      <c r="B840" s="1">
        <v>46014</v>
      </c>
      <c r="C840" t="s">
        <v>19</v>
      </c>
      <c r="D840" t="s">
        <v>14</v>
      </c>
      <c r="E840" t="s">
        <v>42</v>
      </c>
      <c r="F840" t="s">
        <v>24</v>
      </c>
      <c r="G840">
        <v>13</v>
      </c>
      <c r="H840">
        <v>1815</v>
      </c>
      <c r="I840">
        <v>23595</v>
      </c>
      <c r="J840">
        <v>129</v>
      </c>
      <c r="K840">
        <v>4</v>
      </c>
      <c r="L840" t="s">
        <v>22</v>
      </c>
      <c r="M840" t="str">
        <f t="shared" si="26"/>
        <v>Available</v>
      </c>
      <c r="N840">
        <f t="shared" si="27"/>
        <v>4719</v>
      </c>
    </row>
    <row r="841" spans="1:14" x14ac:dyDescent="0.3">
      <c r="A841" t="s">
        <v>881</v>
      </c>
      <c r="B841" s="1">
        <v>45966</v>
      </c>
      <c r="C841" t="s">
        <v>19</v>
      </c>
      <c r="D841" t="s">
        <v>51</v>
      </c>
      <c r="E841" t="s">
        <v>66</v>
      </c>
      <c r="F841" t="s">
        <v>21</v>
      </c>
      <c r="G841">
        <v>4</v>
      </c>
      <c r="H841">
        <v>4710</v>
      </c>
      <c r="I841">
        <v>18840</v>
      </c>
      <c r="J841">
        <v>110</v>
      </c>
      <c r="K841">
        <v>5</v>
      </c>
      <c r="L841" t="s">
        <v>22</v>
      </c>
      <c r="M841" t="str">
        <f t="shared" si="26"/>
        <v>Available</v>
      </c>
      <c r="N841">
        <f t="shared" si="27"/>
        <v>3768</v>
      </c>
    </row>
    <row r="842" spans="1:14" x14ac:dyDescent="0.3">
      <c r="A842" t="s">
        <v>882</v>
      </c>
      <c r="B842" s="1">
        <v>45961</v>
      </c>
      <c r="C842" t="s">
        <v>26</v>
      </c>
      <c r="D842" t="s">
        <v>27</v>
      </c>
      <c r="E842" t="s">
        <v>34</v>
      </c>
      <c r="F842" t="s">
        <v>24</v>
      </c>
      <c r="G842">
        <v>6</v>
      </c>
      <c r="H842">
        <v>1740</v>
      </c>
      <c r="I842">
        <v>10440</v>
      </c>
      <c r="J842">
        <v>264</v>
      </c>
      <c r="K842">
        <v>3</v>
      </c>
      <c r="L842" t="s">
        <v>22</v>
      </c>
      <c r="M842" t="str">
        <f t="shared" si="26"/>
        <v>Available</v>
      </c>
      <c r="N842">
        <f t="shared" si="27"/>
        <v>2088</v>
      </c>
    </row>
    <row r="843" spans="1:14" x14ac:dyDescent="0.3">
      <c r="A843" t="s">
        <v>883</v>
      </c>
      <c r="B843" s="1">
        <v>45862</v>
      </c>
      <c r="C843" t="s">
        <v>13</v>
      </c>
      <c r="D843" t="s">
        <v>31</v>
      </c>
      <c r="E843" t="s">
        <v>40</v>
      </c>
      <c r="F843" t="s">
        <v>16</v>
      </c>
      <c r="G843">
        <v>29</v>
      </c>
      <c r="H843">
        <v>734</v>
      </c>
      <c r="I843">
        <v>21286</v>
      </c>
      <c r="J843">
        <v>278</v>
      </c>
      <c r="K843">
        <v>3</v>
      </c>
      <c r="L843" t="s">
        <v>22</v>
      </c>
      <c r="M843" t="str">
        <f t="shared" si="26"/>
        <v>Available</v>
      </c>
      <c r="N843">
        <f t="shared" si="27"/>
        <v>4257.2</v>
      </c>
    </row>
    <row r="844" spans="1:14" x14ac:dyDescent="0.3">
      <c r="A844" t="s">
        <v>884</v>
      </c>
      <c r="B844" s="1">
        <v>45740</v>
      </c>
      <c r="C844" t="s">
        <v>13</v>
      </c>
      <c r="D844" t="s">
        <v>31</v>
      </c>
      <c r="E844" t="s">
        <v>32</v>
      </c>
      <c r="F844" t="s">
        <v>16</v>
      </c>
      <c r="G844">
        <v>12</v>
      </c>
      <c r="H844">
        <v>3249</v>
      </c>
      <c r="I844">
        <v>38988</v>
      </c>
      <c r="J844">
        <v>124</v>
      </c>
      <c r="K844">
        <v>7</v>
      </c>
      <c r="L844" t="s">
        <v>17</v>
      </c>
      <c r="M844" t="str">
        <f t="shared" si="26"/>
        <v>Available</v>
      </c>
      <c r="N844">
        <f t="shared" si="27"/>
        <v>7797.6</v>
      </c>
    </row>
    <row r="845" spans="1:14" x14ac:dyDescent="0.3">
      <c r="A845" t="s">
        <v>885</v>
      </c>
      <c r="B845" s="1">
        <v>45832</v>
      </c>
      <c r="C845" t="s">
        <v>26</v>
      </c>
      <c r="D845" t="s">
        <v>31</v>
      </c>
      <c r="E845" t="s">
        <v>32</v>
      </c>
      <c r="F845" t="s">
        <v>24</v>
      </c>
      <c r="G845">
        <v>49</v>
      </c>
      <c r="H845">
        <v>2505</v>
      </c>
      <c r="I845">
        <v>122745</v>
      </c>
      <c r="J845">
        <v>243</v>
      </c>
      <c r="K845">
        <v>4</v>
      </c>
      <c r="L845" t="s">
        <v>22</v>
      </c>
      <c r="M845" t="str">
        <f t="shared" si="26"/>
        <v>Available</v>
      </c>
      <c r="N845">
        <f t="shared" si="27"/>
        <v>24549</v>
      </c>
    </row>
    <row r="846" spans="1:14" x14ac:dyDescent="0.3">
      <c r="A846" t="s">
        <v>886</v>
      </c>
      <c r="B846" s="1">
        <v>45695</v>
      </c>
      <c r="C846" t="s">
        <v>19</v>
      </c>
      <c r="D846" t="s">
        <v>14</v>
      </c>
      <c r="E846" t="s">
        <v>58</v>
      </c>
      <c r="F846" t="s">
        <v>29</v>
      </c>
      <c r="G846">
        <v>49</v>
      </c>
      <c r="H846">
        <v>691</v>
      </c>
      <c r="I846">
        <v>33859</v>
      </c>
      <c r="J846">
        <v>260</v>
      </c>
      <c r="K846">
        <v>5</v>
      </c>
      <c r="L846" t="s">
        <v>22</v>
      </c>
      <c r="M846" t="str">
        <f t="shared" si="26"/>
        <v>Available</v>
      </c>
      <c r="N846">
        <f t="shared" si="27"/>
        <v>6771.8</v>
      </c>
    </row>
    <row r="847" spans="1:14" x14ac:dyDescent="0.3">
      <c r="A847" t="s">
        <v>887</v>
      </c>
      <c r="B847" s="1">
        <v>45696</v>
      </c>
      <c r="C847" t="s">
        <v>19</v>
      </c>
      <c r="D847" t="s">
        <v>51</v>
      </c>
      <c r="E847" t="s">
        <v>52</v>
      </c>
      <c r="F847" t="s">
        <v>24</v>
      </c>
      <c r="G847">
        <v>48</v>
      </c>
      <c r="H847">
        <v>2385</v>
      </c>
      <c r="I847">
        <v>114480</v>
      </c>
      <c r="J847">
        <v>230</v>
      </c>
      <c r="K847">
        <v>9</v>
      </c>
      <c r="L847" t="s">
        <v>17</v>
      </c>
      <c r="M847" t="str">
        <f t="shared" si="26"/>
        <v>Available</v>
      </c>
      <c r="N847">
        <f t="shared" si="27"/>
        <v>22896</v>
      </c>
    </row>
    <row r="848" spans="1:14" x14ac:dyDescent="0.3">
      <c r="A848" t="s">
        <v>888</v>
      </c>
      <c r="B848" s="1">
        <v>45958</v>
      </c>
      <c r="C848" t="s">
        <v>13</v>
      </c>
      <c r="D848" t="s">
        <v>27</v>
      </c>
      <c r="E848" t="s">
        <v>28</v>
      </c>
      <c r="F848" t="s">
        <v>29</v>
      </c>
      <c r="G848">
        <v>23</v>
      </c>
      <c r="H848">
        <v>4685</v>
      </c>
      <c r="I848">
        <v>107755</v>
      </c>
      <c r="J848">
        <v>256</v>
      </c>
      <c r="K848">
        <v>5</v>
      </c>
      <c r="L848" t="s">
        <v>22</v>
      </c>
      <c r="M848" t="str">
        <f t="shared" si="26"/>
        <v>Available</v>
      </c>
      <c r="N848">
        <f t="shared" si="27"/>
        <v>21551</v>
      </c>
    </row>
    <row r="849" spans="1:14" x14ac:dyDescent="0.3">
      <c r="A849" t="s">
        <v>889</v>
      </c>
      <c r="B849" s="1">
        <v>45869</v>
      </c>
      <c r="C849" t="s">
        <v>38</v>
      </c>
      <c r="D849" t="s">
        <v>31</v>
      </c>
      <c r="E849" t="s">
        <v>76</v>
      </c>
      <c r="F849" t="s">
        <v>29</v>
      </c>
      <c r="G849">
        <v>20</v>
      </c>
      <c r="H849">
        <v>3807</v>
      </c>
      <c r="I849">
        <v>76140</v>
      </c>
      <c r="J849">
        <v>25</v>
      </c>
      <c r="K849">
        <v>8</v>
      </c>
      <c r="L849" t="s">
        <v>17</v>
      </c>
      <c r="M849" t="str">
        <f t="shared" si="26"/>
        <v>Reorder</v>
      </c>
      <c r="N849">
        <f t="shared" si="27"/>
        <v>15228</v>
      </c>
    </row>
    <row r="850" spans="1:14" x14ac:dyDescent="0.3">
      <c r="A850" t="s">
        <v>890</v>
      </c>
      <c r="B850" s="1">
        <v>46001</v>
      </c>
      <c r="C850" t="s">
        <v>13</v>
      </c>
      <c r="D850" t="s">
        <v>14</v>
      </c>
      <c r="E850" t="s">
        <v>20</v>
      </c>
      <c r="F850" t="s">
        <v>21</v>
      </c>
      <c r="G850">
        <v>10</v>
      </c>
      <c r="H850">
        <v>845</v>
      </c>
      <c r="I850">
        <v>8450</v>
      </c>
      <c r="J850">
        <v>62</v>
      </c>
      <c r="K850">
        <v>5</v>
      </c>
      <c r="L850" t="s">
        <v>22</v>
      </c>
      <c r="M850" t="str">
        <f t="shared" si="26"/>
        <v>Available</v>
      </c>
      <c r="N850">
        <f t="shared" si="27"/>
        <v>1690</v>
      </c>
    </row>
    <row r="851" spans="1:14" x14ac:dyDescent="0.3">
      <c r="A851" t="s">
        <v>891</v>
      </c>
      <c r="B851" s="1">
        <v>45796</v>
      </c>
      <c r="C851" t="s">
        <v>26</v>
      </c>
      <c r="D851" t="s">
        <v>27</v>
      </c>
      <c r="E851" t="s">
        <v>83</v>
      </c>
      <c r="F851" t="s">
        <v>21</v>
      </c>
      <c r="G851">
        <v>27</v>
      </c>
      <c r="H851">
        <v>3194</v>
      </c>
      <c r="I851">
        <v>86238</v>
      </c>
      <c r="J851">
        <v>195</v>
      </c>
      <c r="K851">
        <v>10</v>
      </c>
      <c r="L851" t="s">
        <v>17</v>
      </c>
      <c r="M851" t="str">
        <f t="shared" si="26"/>
        <v>Available</v>
      </c>
      <c r="N851">
        <f t="shared" si="27"/>
        <v>17247.600000000002</v>
      </c>
    </row>
    <row r="852" spans="1:14" x14ac:dyDescent="0.3">
      <c r="A852" t="s">
        <v>892</v>
      </c>
      <c r="B852" s="1">
        <v>45772</v>
      </c>
      <c r="C852" t="s">
        <v>19</v>
      </c>
      <c r="D852" t="s">
        <v>31</v>
      </c>
      <c r="E852" t="s">
        <v>45</v>
      </c>
      <c r="F852" t="s">
        <v>29</v>
      </c>
      <c r="G852">
        <v>22</v>
      </c>
      <c r="H852">
        <v>4803</v>
      </c>
      <c r="I852">
        <v>105666</v>
      </c>
      <c r="J852">
        <v>69</v>
      </c>
      <c r="K852">
        <v>2</v>
      </c>
      <c r="L852" t="s">
        <v>22</v>
      </c>
      <c r="M852" t="str">
        <f t="shared" si="26"/>
        <v>Available</v>
      </c>
      <c r="N852">
        <f t="shared" si="27"/>
        <v>21133.200000000001</v>
      </c>
    </row>
    <row r="853" spans="1:14" x14ac:dyDescent="0.3">
      <c r="A853" t="s">
        <v>893</v>
      </c>
      <c r="B853" s="1">
        <v>45684</v>
      </c>
      <c r="C853" t="s">
        <v>26</v>
      </c>
      <c r="D853" t="s">
        <v>14</v>
      </c>
      <c r="E853" t="s">
        <v>15</v>
      </c>
      <c r="F853" t="s">
        <v>16</v>
      </c>
      <c r="G853">
        <v>50</v>
      </c>
      <c r="H853">
        <v>3041</v>
      </c>
      <c r="I853">
        <v>152050</v>
      </c>
      <c r="J853">
        <v>292</v>
      </c>
      <c r="K853">
        <v>2</v>
      </c>
      <c r="L853" t="s">
        <v>22</v>
      </c>
      <c r="M853" t="str">
        <f t="shared" si="26"/>
        <v>Available</v>
      </c>
      <c r="N853">
        <f t="shared" si="27"/>
        <v>30410</v>
      </c>
    </row>
    <row r="854" spans="1:14" x14ac:dyDescent="0.3">
      <c r="A854" t="s">
        <v>894</v>
      </c>
      <c r="B854" s="1">
        <v>45874</v>
      </c>
      <c r="C854" t="s">
        <v>38</v>
      </c>
      <c r="D854" t="s">
        <v>51</v>
      </c>
      <c r="E854" t="s">
        <v>66</v>
      </c>
      <c r="F854" t="s">
        <v>16</v>
      </c>
      <c r="G854">
        <v>36</v>
      </c>
      <c r="H854">
        <v>1098</v>
      </c>
      <c r="I854">
        <v>39528</v>
      </c>
      <c r="J854">
        <v>155</v>
      </c>
      <c r="K854">
        <v>5</v>
      </c>
      <c r="L854" t="s">
        <v>22</v>
      </c>
      <c r="M854" t="str">
        <f t="shared" si="26"/>
        <v>Available</v>
      </c>
      <c r="N854">
        <f t="shared" si="27"/>
        <v>7905.6</v>
      </c>
    </row>
    <row r="855" spans="1:14" x14ac:dyDescent="0.3">
      <c r="A855" t="s">
        <v>895</v>
      </c>
      <c r="B855" s="1">
        <v>45745</v>
      </c>
      <c r="C855" t="s">
        <v>13</v>
      </c>
      <c r="D855" t="s">
        <v>51</v>
      </c>
      <c r="E855" t="s">
        <v>90</v>
      </c>
      <c r="F855" t="s">
        <v>21</v>
      </c>
      <c r="G855">
        <v>48</v>
      </c>
      <c r="H855">
        <v>1030</v>
      </c>
      <c r="I855">
        <v>49440</v>
      </c>
      <c r="J855">
        <v>187</v>
      </c>
      <c r="K855">
        <v>10</v>
      </c>
      <c r="L855" t="s">
        <v>17</v>
      </c>
      <c r="M855" t="str">
        <f t="shared" si="26"/>
        <v>Available</v>
      </c>
      <c r="N855">
        <f t="shared" si="27"/>
        <v>9888</v>
      </c>
    </row>
    <row r="856" spans="1:14" x14ac:dyDescent="0.3">
      <c r="A856" t="s">
        <v>896</v>
      </c>
      <c r="B856" s="1">
        <v>45941</v>
      </c>
      <c r="C856" t="s">
        <v>13</v>
      </c>
      <c r="D856" t="s">
        <v>51</v>
      </c>
      <c r="E856" t="s">
        <v>56</v>
      </c>
      <c r="F856" t="s">
        <v>16</v>
      </c>
      <c r="G856">
        <v>14</v>
      </c>
      <c r="H856">
        <v>516</v>
      </c>
      <c r="I856">
        <v>7224</v>
      </c>
      <c r="J856">
        <v>47</v>
      </c>
      <c r="K856">
        <v>7</v>
      </c>
      <c r="L856" t="s">
        <v>17</v>
      </c>
      <c r="M856" t="str">
        <f t="shared" si="26"/>
        <v>Reorder</v>
      </c>
      <c r="N856">
        <f t="shared" si="27"/>
        <v>1444.8000000000002</v>
      </c>
    </row>
    <row r="857" spans="1:14" x14ac:dyDescent="0.3">
      <c r="A857" t="s">
        <v>897</v>
      </c>
      <c r="B857" s="1">
        <v>45755</v>
      </c>
      <c r="C857" t="s">
        <v>19</v>
      </c>
      <c r="D857" t="s">
        <v>51</v>
      </c>
      <c r="E857" t="s">
        <v>66</v>
      </c>
      <c r="F857" t="s">
        <v>29</v>
      </c>
      <c r="G857">
        <v>20</v>
      </c>
      <c r="H857">
        <v>1029</v>
      </c>
      <c r="I857">
        <v>20580</v>
      </c>
      <c r="J857">
        <v>229</v>
      </c>
      <c r="K857">
        <v>10</v>
      </c>
      <c r="L857" t="s">
        <v>17</v>
      </c>
      <c r="M857" t="str">
        <f t="shared" si="26"/>
        <v>Available</v>
      </c>
      <c r="N857">
        <f t="shared" si="27"/>
        <v>4116</v>
      </c>
    </row>
    <row r="858" spans="1:14" x14ac:dyDescent="0.3">
      <c r="A858" t="s">
        <v>898</v>
      </c>
      <c r="B858" s="1">
        <v>46005</v>
      </c>
      <c r="C858" t="s">
        <v>19</v>
      </c>
      <c r="D858" t="s">
        <v>27</v>
      </c>
      <c r="E858" t="s">
        <v>28</v>
      </c>
      <c r="F858" t="s">
        <v>29</v>
      </c>
      <c r="G858">
        <v>37</v>
      </c>
      <c r="H858">
        <v>1948</v>
      </c>
      <c r="I858">
        <v>72076</v>
      </c>
      <c r="J858">
        <v>253</v>
      </c>
      <c r="K858">
        <v>2</v>
      </c>
      <c r="L858" t="s">
        <v>22</v>
      </c>
      <c r="M858" t="str">
        <f t="shared" si="26"/>
        <v>Available</v>
      </c>
      <c r="N858">
        <f t="shared" si="27"/>
        <v>14415.2</v>
      </c>
    </row>
    <row r="859" spans="1:14" x14ac:dyDescent="0.3">
      <c r="A859" t="s">
        <v>899</v>
      </c>
      <c r="B859" s="1">
        <v>45943</v>
      </c>
      <c r="C859" t="s">
        <v>13</v>
      </c>
      <c r="D859" t="s">
        <v>27</v>
      </c>
      <c r="E859" t="s">
        <v>83</v>
      </c>
      <c r="F859" t="s">
        <v>29</v>
      </c>
      <c r="G859">
        <v>40</v>
      </c>
      <c r="H859">
        <v>4934</v>
      </c>
      <c r="I859">
        <v>197360</v>
      </c>
      <c r="J859">
        <v>134</v>
      </c>
      <c r="K859">
        <v>5</v>
      </c>
      <c r="L859" t="s">
        <v>22</v>
      </c>
      <c r="M859" t="str">
        <f t="shared" si="26"/>
        <v>Available</v>
      </c>
      <c r="N859">
        <f t="shared" si="27"/>
        <v>39472</v>
      </c>
    </row>
    <row r="860" spans="1:14" x14ac:dyDescent="0.3">
      <c r="A860" t="s">
        <v>900</v>
      </c>
      <c r="B860" s="1">
        <v>45786</v>
      </c>
      <c r="C860" t="s">
        <v>19</v>
      </c>
      <c r="D860" t="s">
        <v>27</v>
      </c>
      <c r="E860" t="s">
        <v>28</v>
      </c>
      <c r="F860" t="s">
        <v>24</v>
      </c>
      <c r="G860">
        <v>19</v>
      </c>
      <c r="H860">
        <v>3237</v>
      </c>
      <c r="I860">
        <v>61503</v>
      </c>
      <c r="J860">
        <v>68</v>
      </c>
      <c r="K860">
        <v>9</v>
      </c>
      <c r="L860" t="s">
        <v>17</v>
      </c>
      <c r="M860" t="str">
        <f t="shared" si="26"/>
        <v>Available</v>
      </c>
      <c r="N860">
        <f t="shared" si="27"/>
        <v>12300.6</v>
      </c>
    </row>
    <row r="861" spans="1:14" x14ac:dyDescent="0.3">
      <c r="A861" t="s">
        <v>901</v>
      </c>
      <c r="B861" s="1">
        <v>45867</v>
      </c>
      <c r="C861" t="s">
        <v>26</v>
      </c>
      <c r="D861" t="s">
        <v>31</v>
      </c>
      <c r="E861" t="s">
        <v>45</v>
      </c>
      <c r="F861" t="s">
        <v>21</v>
      </c>
      <c r="G861">
        <v>43</v>
      </c>
      <c r="H861">
        <v>1075</v>
      </c>
      <c r="I861">
        <v>46225</v>
      </c>
      <c r="J861">
        <v>164</v>
      </c>
      <c r="K861">
        <v>10</v>
      </c>
      <c r="L861" t="s">
        <v>17</v>
      </c>
      <c r="M861" t="str">
        <f t="shared" si="26"/>
        <v>Available</v>
      </c>
      <c r="N861">
        <f t="shared" si="27"/>
        <v>9245</v>
      </c>
    </row>
    <row r="862" spans="1:14" x14ac:dyDescent="0.3">
      <c r="A862" t="s">
        <v>902</v>
      </c>
      <c r="B862" s="1">
        <v>45907</v>
      </c>
      <c r="C862" t="s">
        <v>26</v>
      </c>
      <c r="D862" t="s">
        <v>14</v>
      </c>
      <c r="E862" t="s">
        <v>58</v>
      </c>
      <c r="F862" t="s">
        <v>29</v>
      </c>
      <c r="G862">
        <v>48</v>
      </c>
      <c r="H862">
        <v>3364</v>
      </c>
      <c r="I862">
        <v>161472</v>
      </c>
      <c r="J862">
        <v>297</v>
      </c>
      <c r="K862">
        <v>3</v>
      </c>
      <c r="L862" t="s">
        <v>22</v>
      </c>
      <c r="M862" t="str">
        <f t="shared" si="26"/>
        <v>Available</v>
      </c>
      <c r="N862">
        <f t="shared" si="27"/>
        <v>32294.400000000001</v>
      </c>
    </row>
    <row r="863" spans="1:14" x14ac:dyDescent="0.3">
      <c r="A863" t="s">
        <v>903</v>
      </c>
      <c r="B863" s="1">
        <v>45664</v>
      </c>
      <c r="C863" t="s">
        <v>26</v>
      </c>
      <c r="D863" t="s">
        <v>31</v>
      </c>
      <c r="E863" t="s">
        <v>76</v>
      </c>
      <c r="F863" t="s">
        <v>21</v>
      </c>
      <c r="G863">
        <v>36</v>
      </c>
      <c r="H863">
        <v>2228</v>
      </c>
      <c r="I863">
        <v>80208</v>
      </c>
      <c r="J863">
        <v>244</v>
      </c>
      <c r="K863">
        <v>6</v>
      </c>
      <c r="L863" t="s">
        <v>17</v>
      </c>
      <c r="M863" t="str">
        <f t="shared" si="26"/>
        <v>Available</v>
      </c>
      <c r="N863">
        <f t="shared" si="27"/>
        <v>16041.6</v>
      </c>
    </row>
    <row r="864" spans="1:14" x14ac:dyDescent="0.3">
      <c r="A864" t="s">
        <v>904</v>
      </c>
      <c r="B864" s="1">
        <v>46000</v>
      </c>
      <c r="C864" t="s">
        <v>13</v>
      </c>
      <c r="D864" t="s">
        <v>27</v>
      </c>
      <c r="E864" t="s">
        <v>83</v>
      </c>
      <c r="F864" t="s">
        <v>24</v>
      </c>
      <c r="G864">
        <v>9</v>
      </c>
      <c r="H864">
        <v>1632</v>
      </c>
      <c r="I864">
        <v>14688</v>
      </c>
      <c r="J864">
        <v>252</v>
      </c>
      <c r="K864">
        <v>8</v>
      </c>
      <c r="L864" t="s">
        <v>17</v>
      </c>
      <c r="M864" t="str">
        <f t="shared" si="26"/>
        <v>Available</v>
      </c>
      <c r="N864">
        <f t="shared" si="27"/>
        <v>2937.6000000000004</v>
      </c>
    </row>
    <row r="865" spans="1:14" x14ac:dyDescent="0.3">
      <c r="A865" t="s">
        <v>905</v>
      </c>
      <c r="B865" s="1">
        <v>45790</v>
      </c>
      <c r="C865" t="s">
        <v>26</v>
      </c>
      <c r="D865" t="s">
        <v>31</v>
      </c>
      <c r="E865" t="s">
        <v>32</v>
      </c>
      <c r="F865" t="s">
        <v>21</v>
      </c>
      <c r="G865">
        <v>7</v>
      </c>
      <c r="H865">
        <v>1516</v>
      </c>
      <c r="I865">
        <v>10612</v>
      </c>
      <c r="J865">
        <v>152</v>
      </c>
      <c r="K865">
        <v>6</v>
      </c>
      <c r="L865" t="s">
        <v>17</v>
      </c>
      <c r="M865" t="str">
        <f t="shared" si="26"/>
        <v>Available</v>
      </c>
      <c r="N865">
        <f t="shared" si="27"/>
        <v>2122.4</v>
      </c>
    </row>
    <row r="866" spans="1:14" x14ac:dyDescent="0.3">
      <c r="A866" t="s">
        <v>906</v>
      </c>
      <c r="B866" s="1">
        <v>45772</v>
      </c>
      <c r="C866" t="s">
        <v>19</v>
      </c>
      <c r="D866" t="s">
        <v>27</v>
      </c>
      <c r="E866" t="s">
        <v>83</v>
      </c>
      <c r="F866" t="s">
        <v>29</v>
      </c>
      <c r="G866">
        <v>41</v>
      </c>
      <c r="H866">
        <v>4652</v>
      </c>
      <c r="I866">
        <v>190732</v>
      </c>
      <c r="J866">
        <v>205</v>
      </c>
      <c r="K866">
        <v>5</v>
      </c>
      <c r="L866" t="s">
        <v>22</v>
      </c>
      <c r="M866" t="str">
        <f t="shared" si="26"/>
        <v>Available</v>
      </c>
      <c r="N866">
        <f t="shared" si="27"/>
        <v>38146.400000000001</v>
      </c>
    </row>
    <row r="867" spans="1:14" x14ac:dyDescent="0.3">
      <c r="A867" t="s">
        <v>907</v>
      </c>
      <c r="B867" s="1">
        <v>45925</v>
      </c>
      <c r="C867" t="s">
        <v>13</v>
      </c>
      <c r="D867" t="s">
        <v>51</v>
      </c>
      <c r="E867" t="s">
        <v>66</v>
      </c>
      <c r="F867" t="s">
        <v>29</v>
      </c>
      <c r="G867">
        <v>13</v>
      </c>
      <c r="H867">
        <v>2089</v>
      </c>
      <c r="I867">
        <v>27157</v>
      </c>
      <c r="J867">
        <v>13</v>
      </c>
      <c r="K867">
        <v>7</v>
      </c>
      <c r="L867" t="s">
        <v>17</v>
      </c>
      <c r="M867" t="str">
        <f t="shared" si="26"/>
        <v>Reorder</v>
      </c>
      <c r="N867">
        <f t="shared" si="27"/>
        <v>5431.4000000000005</v>
      </c>
    </row>
    <row r="868" spans="1:14" x14ac:dyDescent="0.3">
      <c r="A868" t="s">
        <v>908</v>
      </c>
      <c r="B868" s="1">
        <v>45771</v>
      </c>
      <c r="C868" t="s">
        <v>13</v>
      </c>
      <c r="D868" t="s">
        <v>27</v>
      </c>
      <c r="E868" t="s">
        <v>83</v>
      </c>
      <c r="F868" t="s">
        <v>29</v>
      </c>
      <c r="G868">
        <v>20</v>
      </c>
      <c r="H868">
        <v>851</v>
      </c>
      <c r="I868">
        <v>17020</v>
      </c>
      <c r="J868">
        <v>24</v>
      </c>
      <c r="K868">
        <v>2</v>
      </c>
      <c r="L868" t="s">
        <v>22</v>
      </c>
      <c r="M868" t="str">
        <f t="shared" si="26"/>
        <v>Reorder</v>
      </c>
      <c r="N868">
        <f t="shared" si="27"/>
        <v>3404</v>
      </c>
    </row>
    <row r="869" spans="1:14" x14ac:dyDescent="0.3">
      <c r="A869" t="s">
        <v>909</v>
      </c>
      <c r="B869" s="1">
        <v>45922</v>
      </c>
      <c r="C869" t="s">
        <v>13</v>
      </c>
      <c r="D869" t="s">
        <v>14</v>
      </c>
      <c r="E869" t="s">
        <v>20</v>
      </c>
      <c r="F869" t="s">
        <v>21</v>
      </c>
      <c r="G869">
        <v>26</v>
      </c>
      <c r="H869">
        <v>1782</v>
      </c>
      <c r="I869">
        <v>46332</v>
      </c>
      <c r="J869">
        <v>103</v>
      </c>
      <c r="K869">
        <v>7</v>
      </c>
      <c r="L869" t="s">
        <v>17</v>
      </c>
      <c r="M869" t="str">
        <f t="shared" si="26"/>
        <v>Available</v>
      </c>
      <c r="N869">
        <f t="shared" si="27"/>
        <v>9266.4</v>
      </c>
    </row>
    <row r="870" spans="1:14" x14ac:dyDescent="0.3">
      <c r="A870" t="s">
        <v>910</v>
      </c>
      <c r="B870" s="1">
        <v>45924</v>
      </c>
      <c r="C870" t="s">
        <v>26</v>
      </c>
      <c r="D870" t="s">
        <v>51</v>
      </c>
      <c r="E870" t="s">
        <v>66</v>
      </c>
      <c r="F870" t="s">
        <v>21</v>
      </c>
      <c r="G870">
        <v>10</v>
      </c>
      <c r="H870">
        <v>4169</v>
      </c>
      <c r="I870">
        <v>41690</v>
      </c>
      <c r="J870">
        <v>149</v>
      </c>
      <c r="K870">
        <v>6</v>
      </c>
      <c r="L870" t="s">
        <v>17</v>
      </c>
      <c r="M870" t="str">
        <f t="shared" si="26"/>
        <v>Available</v>
      </c>
      <c r="N870">
        <f t="shared" si="27"/>
        <v>8338</v>
      </c>
    </row>
    <row r="871" spans="1:14" x14ac:dyDescent="0.3">
      <c r="A871" t="s">
        <v>911</v>
      </c>
      <c r="B871" s="1">
        <v>45797</v>
      </c>
      <c r="C871" t="s">
        <v>19</v>
      </c>
      <c r="D871" t="s">
        <v>27</v>
      </c>
      <c r="E871" t="s">
        <v>34</v>
      </c>
      <c r="F871" t="s">
        <v>21</v>
      </c>
      <c r="G871">
        <v>30</v>
      </c>
      <c r="H871">
        <v>4407</v>
      </c>
      <c r="I871">
        <v>132210</v>
      </c>
      <c r="J871">
        <v>152</v>
      </c>
      <c r="K871">
        <v>10</v>
      </c>
      <c r="L871" t="s">
        <v>17</v>
      </c>
      <c r="M871" t="str">
        <f t="shared" si="26"/>
        <v>Available</v>
      </c>
      <c r="N871">
        <f t="shared" si="27"/>
        <v>26442</v>
      </c>
    </row>
    <row r="872" spans="1:14" x14ac:dyDescent="0.3">
      <c r="A872" t="s">
        <v>912</v>
      </c>
      <c r="B872" s="1">
        <v>45665</v>
      </c>
      <c r="C872" t="s">
        <v>19</v>
      </c>
      <c r="D872" t="s">
        <v>31</v>
      </c>
      <c r="E872" t="s">
        <v>45</v>
      </c>
      <c r="F872" t="s">
        <v>21</v>
      </c>
      <c r="G872">
        <v>27</v>
      </c>
      <c r="H872">
        <v>3196</v>
      </c>
      <c r="I872">
        <v>86292</v>
      </c>
      <c r="J872">
        <v>111</v>
      </c>
      <c r="K872">
        <v>6</v>
      </c>
      <c r="L872" t="s">
        <v>17</v>
      </c>
      <c r="M872" t="str">
        <f t="shared" si="26"/>
        <v>Available</v>
      </c>
      <c r="N872">
        <f t="shared" si="27"/>
        <v>17258.400000000001</v>
      </c>
    </row>
    <row r="873" spans="1:14" x14ac:dyDescent="0.3">
      <c r="A873" t="s">
        <v>913</v>
      </c>
      <c r="B873" s="1">
        <v>45882</v>
      </c>
      <c r="C873" t="s">
        <v>13</v>
      </c>
      <c r="D873" t="s">
        <v>27</v>
      </c>
      <c r="E873" t="s">
        <v>83</v>
      </c>
      <c r="F873" t="s">
        <v>16</v>
      </c>
      <c r="G873">
        <v>11</v>
      </c>
      <c r="H873">
        <v>1299</v>
      </c>
      <c r="I873">
        <v>14289</v>
      </c>
      <c r="J873">
        <v>214</v>
      </c>
      <c r="K873">
        <v>8</v>
      </c>
      <c r="L873" t="s">
        <v>17</v>
      </c>
      <c r="M873" t="str">
        <f t="shared" si="26"/>
        <v>Available</v>
      </c>
      <c r="N873">
        <f t="shared" si="27"/>
        <v>2857.8</v>
      </c>
    </row>
    <row r="874" spans="1:14" x14ac:dyDescent="0.3">
      <c r="A874" t="s">
        <v>914</v>
      </c>
      <c r="B874" s="1">
        <v>45694</v>
      </c>
      <c r="C874" t="s">
        <v>13</v>
      </c>
      <c r="D874" t="s">
        <v>14</v>
      </c>
      <c r="E874" t="s">
        <v>42</v>
      </c>
      <c r="F874" t="s">
        <v>16</v>
      </c>
      <c r="G874">
        <v>10</v>
      </c>
      <c r="H874">
        <v>2751</v>
      </c>
      <c r="I874">
        <v>27510</v>
      </c>
      <c r="J874">
        <v>170</v>
      </c>
      <c r="K874">
        <v>4</v>
      </c>
      <c r="L874" t="s">
        <v>22</v>
      </c>
      <c r="M874" t="str">
        <f t="shared" si="26"/>
        <v>Available</v>
      </c>
      <c r="N874">
        <f t="shared" si="27"/>
        <v>5502</v>
      </c>
    </row>
    <row r="875" spans="1:14" x14ac:dyDescent="0.3">
      <c r="A875" t="s">
        <v>915</v>
      </c>
      <c r="B875" s="1">
        <v>46022</v>
      </c>
      <c r="C875" t="s">
        <v>38</v>
      </c>
      <c r="D875" t="s">
        <v>27</v>
      </c>
      <c r="E875" t="s">
        <v>64</v>
      </c>
      <c r="F875" t="s">
        <v>29</v>
      </c>
      <c r="G875">
        <v>13</v>
      </c>
      <c r="H875">
        <v>4972</v>
      </c>
      <c r="I875">
        <v>64636</v>
      </c>
      <c r="J875">
        <v>34</v>
      </c>
      <c r="K875">
        <v>6</v>
      </c>
      <c r="L875" t="s">
        <v>17</v>
      </c>
      <c r="M875" t="str">
        <f t="shared" si="26"/>
        <v>Reorder</v>
      </c>
      <c r="N875">
        <f t="shared" si="27"/>
        <v>12927.2</v>
      </c>
    </row>
    <row r="876" spans="1:14" x14ac:dyDescent="0.3">
      <c r="A876" t="s">
        <v>916</v>
      </c>
      <c r="B876" s="1">
        <v>45991</v>
      </c>
      <c r="C876" t="s">
        <v>26</v>
      </c>
      <c r="D876" t="s">
        <v>31</v>
      </c>
      <c r="E876" t="s">
        <v>45</v>
      </c>
      <c r="F876" t="s">
        <v>24</v>
      </c>
      <c r="G876">
        <v>8</v>
      </c>
      <c r="H876">
        <v>2471</v>
      </c>
      <c r="I876">
        <v>19768</v>
      </c>
      <c r="J876">
        <v>190</v>
      </c>
      <c r="K876">
        <v>3</v>
      </c>
      <c r="L876" t="s">
        <v>22</v>
      </c>
      <c r="M876" t="str">
        <f t="shared" si="26"/>
        <v>Available</v>
      </c>
      <c r="N876">
        <f t="shared" si="27"/>
        <v>3953.6000000000004</v>
      </c>
    </row>
    <row r="877" spans="1:14" x14ac:dyDescent="0.3">
      <c r="A877" t="s">
        <v>917</v>
      </c>
      <c r="B877" s="1">
        <v>45978</v>
      </c>
      <c r="C877" t="s">
        <v>19</v>
      </c>
      <c r="D877" t="s">
        <v>51</v>
      </c>
      <c r="E877" t="s">
        <v>52</v>
      </c>
      <c r="F877" t="s">
        <v>29</v>
      </c>
      <c r="G877">
        <v>22</v>
      </c>
      <c r="H877">
        <v>4353</v>
      </c>
      <c r="I877">
        <v>95766</v>
      </c>
      <c r="J877">
        <v>260</v>
      </c>
      <c r="K877">
        <v>9</v>
      </c>
      <c r="L877" t="s">
        <v>17</v>
      </c>
      <c r="M877" t="str">
        <f t="shared" si="26"/>
        <v>Available</v>
      </c>
      <c r="N877">
        <f t="shared" si="27"/>
        <v>19153.2</v>
      </c>
    </row>
    <row r="878" spans="1:14" x14ac:dyDescent="0.3">
      <c r="A878" t="s">
        <v>918</v>
      </c>
      <c r="B878" s="1">
        <v>45951</v>
      </c>
      <c r="C878" t="s">
        <v>26</v>
      </c>
      <c r="D878" t="s">
        <v>51</v>
      </c>
      <c r="E878" t="s">
        <v>56</v>
      </c>
      <c r="F878" t="s">
        <v>21</v>
      </c>
      <c r="G878">
        <v>14</v>
      </c>
      <c r="H878">
        <v>816</v>
      </c>
      <c r="I878">
        <v>11424</v>
      </c>
      <c r="J878">
        <v>188</v>
      </c>
      <c r="K878">
        <v>2</v>
      </c>
      <c r="L878" t="s">
        <v>22</v>
      </c>
      <c r="M878" t="str">
        <f t="shared" si="26"/>
        <v>Available</v>
      </c>
      <c r="N878">
        <f t="shared" si="27"/>
        <v>2284.8000000000002</v>
      </c>
    </row>
    <row r="879" spans="1:14" x14ac:dyDescent="0.3">
      <c r="A879" t="s">
        <v>919</v>
      </c>
      <c r="B879" s="1">
        <v>45771</v>
      </c>
      <c r="C879" t="s">
        <v>13</v>
      </c>
      <c r="D879" t="s">
        <v>14</v>
      </c>
      <c r="E879" t="s">
        <v>20</v>
      </c>
      <c r="F879" t="s">
        <v>24</v>
      </c>
      <c r="G879">
        <v>4</v>
      </c>
      <c r="H879">
        <v>3963</v>
      </c>
      <c r="I879">
        <v>15852</v>
      </c>
      <c r="J879">
        <v>84</v>
      </c>
      <c r="K879">
        <v>8</v>
      </c>
      <c r="L879" t="s">
        <v>17</v>
      </c>
      <c r="M879" t="str">
        <f t="shared" si="26"/>
        <v>Available</v>
      </c>
      <c r="N879">
        <f t="shared" si="27"/>
        <v>3170.4</v>
      </c>
    </row>
    <row r="880" spans="1:14" x14ac:dyDescent="0.3">
      <c r="A880" t="s">
        <v>920</v>
      </c>
      <c r="B880" s="1">
        <v>45820</v>
      </c>
      <c r="C880" t="s">
        <v>38</v>
      </c>
      <c r="D880" t="s">
        <v>14</v>
      </c>
      <c r="E880" t="s">
        <v>20</v>
      </c>
      <c r="F880" t="s">
        <v>21</v>
      </c>
      <c r="G880">
        <v>30</v>
      </c>
      <c r="H880">
        <v>541</v>
      </c>
      <c r="I880">
        <v>16230</v>
      </c>
      <c r="J880">
        <v>171</v>
      </c>
      <c r="K880">
        <v>5</v>
      </c>
      <c r="L880" t="s">
        <v>22</v>
      </c>
      <c r="M880" t="str">
        <f t="shared" si="26"/>
        <v>Available</v>
      </c>
      <c r="N880">
        <f t="shared" si="27"/>
        <v>3246</v>
      </c>
    </row>
    <row r="881" spans="1:14" x14ac:dyDescent="0.3">
      <c r="A881" t="s">
        <v>921</v>
      </c>
      <c r="B881" s="1">
        <v>45705</v>
      </c>
      <c r="C881" t="s">
        <v>13</v>
      </c>
      <c r="D881" t="s">
        <v>51</v>
      </c>
      <c r="E881" t="s">
        <v>56</v>
      </c>
      <c r="F881" t="s">
        <v>24</v>
      </c>
      <c r="G881">
        <v>23</v>
      </c>
      <c r="H881">
        <v>946</v>
      </c>
      <c r="I881">
        <v>21758</v>
      </c>
      <c r="J881">
        <v>280</v>
      </c>
      <c r="K881">
        <v>6</v>
      </c>
      <c r="L881" t="s">
        <v>17</v>
      </c>
      <c r="M881" t="str">
        <f t="shared" si="26"/>
        <v>Available</v>
      </c>
      <c r="N881">
        <f t="shared" si="27"/>
        <v>4351.6000000000004</v>
      </c>
    </row>
    <row r="882" spans="1:14" x14ac:dyDescent="0.3">
      <c r="A882" t="s">
        <v>922</v>
      </c>
      <c r="B882" s="1">
        <v>45695</v>
      </c>
      <c r="C882" t="s">
        <v>26</v>
      </c>
      <c r="D882" t="s">
        <v>31</v>
      </c>
      <c r="E882" t="s">
        <v>45</v>
      </c>
      <c r="F882" t="s">
        <v>21</v>
      </c>
      <c r="G882">
        <v>20</v>
      </c>
      <c r="H882">
        <v>3369</v>
      </c>
      <c r="I882">
        <v>67380</v>
      </c>
      <c r="J882">
        <v>32</v>
      </c>
      <c r="K882">
        <v>5</v>
      </c>
      <c r="L882" t="s">
        <v>22</v>
      </c>
      <c r="M882" t="str">
        <f t="shared" si="26"/>
        <v>Reorder</v>
      </c>
      <c r="N882">
        <f t="shared" si="27"/>
        <v>13476</v>
      </c>
    </row>
    <row r="883" spans="1:14" x14ac:dyDescent="0.3">
      <c r="A883" t="s">
        <v>923</v>
      </c>
      <c r="B883" s="1">
        <v>45832</v>
      </c>
      <c r="C883" t="s">
        <v>26</v>
      </c>
      <c r="D883" t="s">
        <v>27</v>
      </c>
      <c r="E883" t="s">
        <v>34</v>
      </c>
      <c r="F883" t="s">
        <v>29</v>
      </c>
      <c r="G883">
        <v>29</v>
      </c>
      <c r="H883">
        <v>4019</v>
      </c>
      <c r="I883">
        <v>116551</v>
      </c>
      <c r="J883">
        <v>274</v>
      </c>
      <c r="K883">
        <v>7</v>
      </c>
      <c r="L883" t="s">
        <v>17</v>
      </c>
      <c r="M883" t="str">
        <f t="shared" si="26"/>
        <v>Available</v>
      </c>
      <c r="N883">
        <f t="shared" si="27"/>
        <v>23310.2</v>
      </c>
    </row>
    <row r="884" spans="1:14" x14ac:dyDescent="0.3">
      <c r="A884" t="s">
        <v>924</v>
      </c>
      <c r="B884" s="1">
        <v>45976</v>
      </c>
      <c r="C884" t="s">
        <v>13</v>
      </c>
      <c r="D884" t="s">
        <v>27</v>
      </c>
      <c r="E884" t="s">
        <v>34</v>
      </c>
      <c r="F884" t="s">
        <v>29</v>
      </c>
      <c r="G884">
        <v>36</v>
      </c>
      <c r="H884">
        <v>2304</v>
      </c>
      <c r="I884">
        <v>82944</v>
      </c>
      <c r="J884">
        <v>272</v>
      </c>
      <c r="K884">
        <v>2</v>
      </c>
      <c r="L884" t="s">
        <v>22</v>
      </c>
      <c r="M884" t="str">
        <f t="shared" si="26"/>
        <v>Available</v>
      </c>
      <c r="N884">
        <f t="shared" si="27"/>
        <v>16588.8</v>
      </c>
    </row>
    <row r="885" spans="1:14" x14ac:dyDescent="0.3">
      <c r="A885" t="s">
        <v>925</v>
      </c>
      <c r="B885" s="1">
        <v>46007</v>
      </c>
      <c r="C885" t="s">
        <v>13</v>
      </c>
      <c r="D885" t="s">
        <v>51</v>
      </c>
      <c r="E885" t="s">
        <v>66</v>
      </c>
      <c r="F885" t="s">
        <v>29</v>
      </c>
      <c r="G885">
        <v>28</v>
      </c>
      <c r="H885">
        <v>565</v>
      </c>
      <c r="I885">
        <v>15820</v>
      </c>
      <c r="J885">
        <v>264</v>
      </c>
      <c r="K885">
        <v>4</v>
      </c>
      <c r="L885" t="s">
        <v>22</v>
      </c>
      <c r="M885" t="str">
        <f t="shared" si="26"/>
        <v>Available</v>
      </c>
      <c r="N885">
        <f t="shared" si="27"/>
        <v>3164</v>
      </c>
    </row>
    <row r="886" spans="1:14" x14ac:dyDescent="0.3">
      <c r="A886" t="s">
        <v>926</v>
      </c>
      <c r="B886" s="1">
        <v>45912</v>
      </c>
      <c r="C886" t="s">
        <v>13</v>
      </c>
      <c r="D886" t="s">
        <v>51</v>
      </c>
      <c r="E886" t="s">
        <v>66</v>
      </c>
      <c r="F886" t="s">
        <v>21</v>
      </c>
      <c r="G886">
        <v>36</v>
      </c>
      <c r="H886">
        <v>4578</v>
      </c>
      <c r="I886">
        <v>164808</v>
      </c>
      <c r="J886">
        <v>160</v>
      </c>
      <c r="K886">
        <v>2</v>
      </c>
      <c r="L886" t="s">
        <v>22</v>
      </c>
      <c r="M886" t="str">
        <f t="shared" si="26"/>
        <v>Available</v>
      </c>
      <c r="N886">
        <f t="shared" si="27"/>
        <v>32961.599999999999</v>
      </c>
    </row>
    <row r="887" spans="1:14" x14ac:dyDescent="0.3">
      <c r="A887" t="s">
        <v>927</v>
      </c>
      <c r="B887" s="1">
        <v>45969</v>
      </c>
      <c r="C887" t="s">
        <v>19</v>
      </c>
      <c r="D887" t="s">
        <v>14</v>
      </c>
      <c r="E887" t="s">
        <v>58</v>
      </c>
      <c r="F887" t="s">
        <v>21</v>
      </c>
      <c r="G887">
        <v>45</v>
      </c>
      <c r="H887">
        <v>3102</v>
      </c>
      <c r="I887">
        <v>139590</v>
      </c>
      <c r="J887">
        <v>281</v>
      </c>
      <c r="K887">
        <v>6</v>
      </c>
      <c r="L887" t="s">
        <v>17</v>
      </c>
      <c r="M887" t="str">
        <f t="shared" si="26"/>
        <v>Available</v>
      </c>
      <c r="N887">
        <f t="shared" si="27"/>
        <v>27918</v>
      </c>
    </row>
    <row r="888" spans="1:14" x14ac:dyDescent="0.3">
      <c r="A888" t="s">
        <v>928</v>
      </c>
      <c r="B888" s="1">
        <v>45779</v>
      </c>
      <c r="C888" t="s">
        <v>26</v>
      </c>
      <c r="D888" t="s">
        <v>14</v>
      </c>
      <c r="E888" t="s">
        <v>20</v>
      </c>
      <c r="F888" t="s">
        <v>21</v>
      </c>
      <c r="G888">
        <v>32</v>
      </c>
      <c r="H888">
        <v>1421</v>
      </c>
      <c r="I888">
        <v>45472</v>
      </c>
      <c r="J888">
        <v>58</v>
      </c>
      <c r="K888">
        <v>9</v>
      </c>
      <c r="L888" t="s">
        <v>17</v>
      </c>
      <c r="M888" t="str">
        <f t="shared" si="26"/>
        <v>Available</v>
      </c>
      <c r="N888">
        <f t="shared" si="27"/>
        <v>9094.4</v>
      </c>
    </row>
    <row r="889" spans="1:14" x14ac:dyDescent="0.3">
      <c r="A889" t="s">
        <v>929</v>
      </c>
      <c r="B889" s="1">
        <v>45845</v>
      </c>
      <c r="C889" t="s">
        <v>19</v>
      </c>
      <c r="D889" t="s">
        <v>27</v>
      </c>
      <c r="E889" t="s">
        <v>28</v>
      </c>
      <c r="F889" t="s">
        <v>24</v>
      </c>
      <c r="G889">
        <v>30</v>
      </c>
      <c r="H889">
        <v>3235</v>
      </c>
      <c r="I889">
        <v>97050</v>
      </c>
      <c r="J889">
        <v>167</v>
      </c>
      <c r="K889">
        <v>7</v>
      </c>
      <c r="L889" t="s">
        <v>17</v>
      </c>
      <c r="M889" t="str">
        <f t="shared" si="26"/>
        <v>Available</v>
      </c>
      <c r="N889">
        <f t="shared" si="27"/>
        <v>19410</v>
      </c>
    </row>
    <row r="890" spans="1:14" x14ac:dyDescent="0.3">
      <c r="A890" t="s">
        <v>930</v>
      </c>
      <c r="B890" s="1">
        <v>45675</v>
      </c>
      <c r="C890" t="s">
        <v>38</v>
      </c>
      <c r="D890" t="s">
        <v>31</v>
      </c>
      <c r="E890" t="s">
        <v>45</v>
      </c>
      <c r="F890" t="s">
        <v>24</v>
      </c>
      <c r="G890">
        <v>9</v>
      </c>
      <c r="H890">
        <v>2961</v>
      </c>
      <c r="I890">
        <v>26649</v>
      </c>
      <c r="J890">
        <v>63</v>
      </c>
      <c r="K890">
        <v>6</v>
      </c>
      <c r="L890" t="s">
        <v>17</v>
      </c>
      <c r="M890" t="str">
        <f t="shared" si="26"/>
        <v>Available</v>
      </c>
      <c r="N890">
        <f t="shared" si="27"/>
        <v>5329.8</v>
      </c>
    </row>
    <row r="891" spans="1:14" x14ac:dyDescent="0.3">
      <c r="A891" t="s">
        <v>931</v>
      </c>
      <c r="B891" s="1">
        <v>45821</v>
      </c>
      <c r="C891" t="s">
        <v>13</v>
      </c>
      <c r="D891" t="s">
        <v>51</v>
      </c>
      <c r="E891" t="s">
        <v>56</v>
      </c>
      <c r="F891" t="s">
        <v>21</v>
      </c>
      <c r="G891">
        <v>10</v>
      </c>
      <c r="H891">
        <v>1553</v>
      </c>
      <c r="I891">
        <v>15530</v>
      </c>
      <c r="J891">
        <v>144</v>
      </c>
      <c r="K891">
        <v>6</v>
      </c>
      <c r="L891" t="s">
        <v>17</v>
      </c>
      <c r="M891" t="str">
        <f t="shared" si="26"/>
        <v>Available</v>
      </c>
      <c r="N891">
        <f t="shared" si="27"/>
        <v>3106</v>
      </c>
    </row>
    <row r="892" spans="1:14" x14ac:dyDescent="0.3">
      <c r="A892" t="s">
        <v>932</v>
      </c>
      <c r="B892" s="1">
        <v>45670</v>
      </c>
      <c r="C892" t="s">
        <v>38</v>
      </c>
      <c r="D892" t="s">
        <v>31</v>
      </c>
      <c r="E892" t="s">
        <v>45</v>
      </c>
      <c r="F892" t="s">
        <v>21</v>
      </c>
      <c r="G892">
        <v>37</v>
      </c>
      <c r="H892">
        <v>1406</v>
      </c>
      <c r="I892">
        <v>52022</v>
      </c>
      <c r="J892">
        <v>138</v>
      </c>
      <c r="K892">
        <v>5</v>
      </c>
      <c r="L892" t="s">
        <v>22</v>
      </c>
      <c r="M892" t="str">
        <f t="shared" si="26"/>
        <v>Available</v>
      </c>
      <c r="N892">
        <f t="shared" si="27"/>
        <v>10404.400000000001</v>
      </c>
    </row>
    <row r="893" spans="1:14" x14ac:dyDescent="0.3">
      <c r="A893" t="s">
        <v>933</v>
      </c>
      <c r="B893" s="1">
        <v>46011</v>
      </c>
      <c r="C893" t="s">
        <v>13</v>
      </c>
      <c r="D893" t="s">
        <v>51</v>
      </c>
      <c r="E893" t="s">
        <v>52</v>
      </c>
      <c r="F893" t="s">
        <v>21</v>
      </c>
      <c r="G893">
        <v>24</v>
      </c>
      <c r="H893">
        <v>3357</v>
      </c>
      <c r="I893">
        <v>80568</v>
      </c>
      <c r="J893">
        <v>19</v>
      </c>
      <c r="K893">
        <v>8</v>
      </c>
      <c r="L893" t="s">
        <v>17</v>
      </c>
      <c r="M893" t="str">
        <f t="shared" si="26"/>
        <v>Reorder</v>
      </c>
      <c r="N893">
        <f t="shared" si="27"/>
        <v>16113.6</v>
      </c>
    </row>
    <row r="894" spans="1:14" x14ac:dyDescent="0.3">
      <c r="A894" t="s">
        <v>934</v>
      </c>
      <c r="B894" s="1">
        <v>45851</v>
      </c>
      <c r="C894" t="s">
        <v>19</v>
      </c>
      <c r="D894" t="s">
        <v>14</v>
      </c>
      <c r="E894" t="s">
        <v>15</v>
      </c>
      <c r="F894" t="s">
        <v>24</v>
      </c>
      <c r="G894">
        <v>6</v>
      </c>
      <c r="H894">
        <v>3040</v>
      </c>
      <c r="I894">
        <v>18240</v>
      </c>
      <c r="J894">
        <v>18</v>
      </c>
      <c r="K894">
        <v>4</v>
      </c>
      <c r="L894" t="s">
        <v>22</v>
      </c>
      <c r="M894" t="str">
        <f t="shared" si="26"/>
        <v>Reorder</v>
      </c>
      <c r="N894">
        <f t="shared" si="27"/>
        <v>3648</v>
      </c>
    </row>
    <row r="895" spans="1:14" x14ac:dyDescent="0.3">
      <c r="A895" t="s">
        <v>935</v>
      </c>
      <c r="B895" s="1">
        <v>45849</v>
      </c>
      <c r="C895" t="s">
        <v>19</v>
      </c>
      <c r="D895" t="s">
        <v>51</v>
      </c>
      <c r="E895" t="s">
        <v>90</v>
      </c>
      <c r="F895" t="s">
        <v>29</v>
      </c>
      <c r="G895">
        <v>42</v>
      </c>
      <c r="H895">
        <v>4234</v>
      </c>
      <c r="I895">
        <v>177828</v>
      </c>
      <c r="J895">
        <v>253</v>
      </c>
      <c r="K895">
        <v>4</v>
      </c>
      <c r="L895" t="s">
        <v>22</v>
      </c>
      <c r="M895" t="str">
        <f t="shared" si="26"/>
        <v>Available</v>
      </c>
      <c r="N895">
        <f t="shared" si="27"/>
        <v>35565.599999999999</v>
      </c>
    </row>
    <row r="896" spans="1:14" x14ac:dyDescent="0.3">
      <c r="A896" t="s">
        <v>936</v>
      </c>
      <c r="B896" s="1">
        <v>45967</v>
      </c>
      <c r="C896" t="s">
        <v>13</v>
      </c>
      <c r="D896" t="s">
        <v>51</v>
      </c>
      <c r="E896" t="s">
        <v>52</v>
      </c>
      <c r="F896" t="s">
        <v>21</v>
      </c>
      <c r="G896">
        <v>25</v>
      </c>
      <c r="H896">
        <v>4395</v>
      </c>
      <c r="I896">
        <v>109875</v>
      </c>
      <c r="J896">
        <v>56</v>
      </c>
      <c r="K896">
        <v>4</v>
      </c>
      <c r="L896" t="s">
        <v>22</v>
      </c>
      <c r="M896" t="str">
        <f t="shared" si="26"/>
        <v>Available</v>
      </c>
      <c r="N896">
        <f t="shared" si="27"/>
        <v>21975</v>
      </c>
    </row>
    <row r="897" spans="1:14" x14ac:dyDescent="0.3">
      <c r="A897" t="s">
        <v>937</v>
      </c>
      <c r="B897" s="1">
        <v>45909</v>
      </c>
      <c r="C897" t="s">
        <v>19</v>
      </c>
      <c r="D897" t="s">
        <v>51</v>
      </c>
      <c r="E897" t="s">
        <v>56</v>
      </c>
      <c r="F897" t="s">
        <v>29</v>
      </c>
      <c r="G897">
        <v>9</v>
      </c>
      <c r="H897">
        <v>3467</v>
      </c>
      <c r="I897">
        <v>31203</v>
      </c>
      <c r="J897">
        <v>258</v>
      </c>
      <c r="K897">
        <v>10</v>
      </c>
      <c r="L897" t="s">
        <v>17</v>
      </c>
      <c r="M897" t="str">
        <f t="shared" si="26"/>
        <v>Available</v>
      </c>
      <c r="N897">
        <f t="shared" si="27"/>
        <v>6240.6</v>
      </c>
    </row>
    <row r="898" spans="1:14" x14ac:dyDescent="0.3">
      <c r="A898" t="s">
        <v>938</v>
      </c>
      <c r="B898" s="1">
        <v>45862</v>
      </c>
      <c r="C898" t="s">
        <v>19</v>
      </c>
      <c r="D898" t="s">
        <v>51</v>
      </c>
      <c r="E898" t="s">
        <v>66</v>
      </c>
      <c r="F898" t="s">
        <v>21</v>
      </c>
      <c r="G898">
        <v>14</v>
      </c>
      <c r="H898">
        <v>553</v>
      </c>
      <c r="I898">
        <v>7742</v>
      </c>
      <c r="J898">
        <v>56</v>
      </c>
      <c r="K898">
        <v>2</v>
      </c>
      <c r="L898" t="s">
        <v>22</v>
      </c>
      <c r="M898" t="str">
        <f t="shared" si="26"/>
        <v>Available</v>
      </c>
      <c r="N898">
        <f t="shared" si="27"/>
        <v>1548.4</v>
      </c>
    </row>
    <row r="899" spans="1:14" x14ac:dyDescent="0.3">
      <c r="A899" t="s">
        <v>939</v>
      </c>
      <c r="B899" s="1">
        <v>45834</v>
      </c>
      <c r="C899" t="s">
        <v>38</v>
      </c>
      <c r="D899" t="s">
        <v>51</v>
      </c>
      <c r="E899" t="s">
        <v>90</v>
      </c>
      <c r="F899" t="s">
        <v>29</v>
      </c>
      <c r="G899">
        <v>46</v>
      </c>
      <c r="H899">
        <v>2835</v>
      </c>
      <c r="I899">
        <v>130410</v>
      </c>
      <c r="J899">
        <v>217</v>
      </c>
      <c r="K899">
        <v>9</v>
      </c>
      <c r="L899" t="s">
        <v>17</v>
      </c>
      <c r="M899" t="str">
        <f t="shared" ref="M899:M962" si="28">IF(J899&lt;50,"Reorder","Available")</f>
        <v>Available</v>
      </c>
      <c r="N899">
        <f t="shared" ref="N899:N962" si="29">I899*20%</f>
        <v>26082</v>
      </c>
    </row>
    <row r="900" spans="1:14" x14ac:dyDescent="0.3">
      <c r="A900" t="s">
        <v>940</v>
      </c>
      <c r="B900" s="1">
        <v>45670</v>
      </c>
      <c r="C900" t="s">
        <v>19</v>
      </c>
      <c r="D900" t="s">
        <v>51</v>
      </c>
      <c r="E900" t="s">
        <v>90</v>
      </c>
      <c r="F900" t="s">
        <v>21</v>
      </c>
      <c r="G900">
        <v>12</v>
      </c>
      <c r="H900">
        <v>4844</v>
      </c>
      <c r="I900">
        <v>58128</v>
      </c>
      <c r="J900">
        <v>154</v>
      </c>
      <c r="K900">
        <v>6</v>
      </c>
      <c r="L900" t="s">
        <v>17</v>
      </c>
      <c r="M900" t="str">
        <f t="shared" si="28"/>
        <v>Available</v>
      </c>
      <c r="N900">
        <f t="shared" si="29"/>
        <v>11625.6</v>
      </c>
    </row>
    <row r="901" spans="1:14" x14ac:dyDescent="0.3">
      <c r="A901" t="s">
        <v>941</v>
      </c>
      <c r="B901" s="1">
        <v>45781</v>
      </c>
      <c r="C901" t="s">
        <v>19</v>
      </c>
      <c r="D901" t="s">
        <v>51</v>
      </c>
      <c r="E901" t="s">
        <v>52</v>
      </c>
      <c r="F901" t="s">
        <v>24</v>
      </c>
      <c r="G901">
        <v>48</v>
      </c>
      <c r="H901">
        <v>932</v>
      </c>
      <c r="I901">
        <v>44736</v>
      </c>
      <c r="J901">
        <v>206</v>
      </c>
      <c r="K901">
        <v>3</v>
      </c>
      <c r="L901" t="s">
        <v>22</v>
      </c>
      <c r="M901" t="str">
        <f t="shared" si="28"/>
        <v>Available</v>
      </c>
      <c r="N901">
        <f t="shared" si="29"/>
        <v>8947.2000000000007</v>
      </c>
    </row>
    <row r="902" spans="1:14" x14ac:dyDescent="0.3">
      <c r="A902" t="s">
        <v>942</v>
      </c>
      <c r="B902" s="1">
        <v>45836</v>
      </c>
      <c r="C902" t="s">
        <v>19</v>
      </c>
      <c r="D902" t="s">
        <v>51</v>
      </c>
      <c r="E902" t="s">
        <v>90</v>
      </c>
      <c r="F902" t="s">
        <v>21</v>
      </c>
      <c r="G902">
        <v>19</v>
      </c>
      <c r="H902">
        <v>3914</v>
      </c>
      <c r="I902">
        <v>74366</v>
      </c>
      <c r="J902">
        <v>194</v>
      </c>
      <c r="K902">
        <v>7</v>
      </c>
      <c r="L902" t="s">
        <v>17</v>
      </c>
      <c r="M902" t="str">
        <f t="shared" si="28"/>
        <v>Available</v>
      </c>
      <c r="N902">
        <f t="shared" si="29"/>
        <v>14873.2</v>
      </c>
    </row>
    <row r="903" spans="1:14" x14ac:dyDescent="0.3">
      <c r="A903" t="s">
        <v>943</v>
      </c>
      <c r="B903" s="1">
        <v>45799</v>
      </c>
      <c r="C903" t="s">
        <v>38</v>
      </c>
      <c r="D903" t="s">
        <v>31</v>
      </c>
      <c r="E903" t="s">
        <v>32</v>
      </c>
      <c r="F903" t="s">
        <v>16</v>
      </c>
      <c r="G903">
        <v>22</v>
      </c>
      <c r="H903">
        <v>2469</v>
      </c>
      <c r="I903">
        <v>54318</v>
      </c>
      <c r="J903">
        <v>219</v>
      </c>
      <c r="K903">
        <v>4</v>
      </c>
      <c r="L903" t="s">
        <v>22</v>
      </c>
      <c r="M903" t="str">
        <f t="shared" si="28"/>
        <v>Available</v>
      </c>
      <c r="N903">
        <f t="shared" si="29"/>
        <v>10863.6</v>
      </c>
    </row>
    <row r="904" spans="1:14" x14ac:dyDescent="0.3">
      <c r="A904" t="s">
        <v>944</v>
      </c>
      <c r="B904" s="1">
        <v>45881</v>
      </c>
      <c r="C904" t="s">
        <v>38</v>
      </c>
      <c r="D904" t="s">
        <v>31</v>
      </c>
      <c r="E904" t="s">
        <v>40</v>
      </c>
      <c r="F904" t="s">
        <v>16</v>
      </c>
      <c r="G904">
        <v>50</v>
      </c>
      <c r="H904">
        <v>3750</v>
      </c>
      <c r="I904">
        <v>187500</v>
      </c>
      <c r="J904">
        <v>123</v>
      </c>
      <c r="K904">
        <v>8</v>
      </c>
      <c r="L904" t="s">
        <v>17</v>
      </c>
      <c r="M904" t="str">
        <f t="shared" si="28"/>
        <v>Available</v>
      </c>
      <c r="N904">
        <f t="shared" si="29"/>
        <v>37500</v>
      </c>
    </row>
    <row r="905" spans="1:14" x14ac:dyDescent="0.3">
      <c r="A905" t="s">
        <v>945</v>
      </c>
      <c r="B905" s="1">
        <v>45858</v>
      </c>
      <c r="C905" t="s">
        <v>38</v>
      </c>
      <c r="D905" t="s">
        <v>31</v>
      </c>
      <c r="E905" t="s">
        <v>32</v>
      </c>
      <c r="F905" t="s">
        <v>29</v>
      </c>
      <c r="G905">
        <v>12</v>
      </c>
      <c r="H905">
        <v>2974</v>
      </c>
      <c r="I905">
        <v>35688</v>
      </c>
      <c r="J905">
        <v>296</v>
      </c>
      <c r="K905">
        <v>10</v>
      </c>
      <c r="L905" t="s">
        <v>17</v>
      </c>
      <c r="M905" t="str">
        <f t="shared" si="28"/>
        <v>Available</v>
      </c>
      <c r="N905">
        <f t="shared" si="29"/>
        <v>7137.6</v>
      </c>
    </row>
    <row r="906" spans="1:14" x14ac:dyDescent="0.3">
      <c r="A906" t="s">
        <v>946</v>
      </c>
      <c r="B906" s="1">
        <v>45959</v>
      </c>
      <c r="C906" t="s">
        <v>19</v>
      </c>
      <c r="D906" t="s">
        <v>31</v>
      </c>
      <c r="E906" t="s">
        <v>45</v>
      </c>
      <c r="F906" t="s">
        <v>21</v>
      </c>
      <c r="G906">
        <v>9</v>
      </c>
      <c r="H906">
        <v>535</v>
      </c>
      <c r="I906">
        <v>4815</v>
      </c>
      <c r="J906">
        <v>230</v>
      </c>
      <c r="K906">
        <v>6</v>
      </c>
      <c r="L906" t="s">
        <v>17</v>
      </c>
      <c r="M906" t="str">
        <f t="shared" si="28"/>
        <v>Available</v>
      </c>
      <c r="N906">
        <f t="shared" si="29"/>
        <v>963</v>
      </c>
    </row>
    <row r="907" spans="1:14" x14ac:dyDescent="0.3">
      <c r="A907" t="s">
        <v>947</v>
      </c>
      <c r="B907" s="1">
        <v>45866</v>
      </c>
      <c r="C907" t="s">
        <v>38</v>
      </c>
      <c r="D907" t="s">
        <v>31</v>
      </c>
      <c r="E907" t="s">
        <v>45</v>
      </c>
      <c r="F907" t="s">
        <v>21</v>
      </c>
      <c r="G907">
        <v>7</v>
      </c>
      <c r="H907">
        <v>3152</v>
      </c>
      <c r="I907">
        <v>22064</v>
      </c>
      <c r="J907">
        <v>209</v>
      </c>
      <c r="K907">
        <v>3</v>
      </c>
      <c r="L907" t="s">
        <v>22</v>
      </c>
      <c r="M907" t="str">
        <f t="shared" si="28"/>
        <v>Available</v>
      </c>
      <c r="N907">
        <f t="shared" si="29"/>
        <v>4412.8</v>
      </c>
    </row>
    <row r="908" spans="1:14" x14ac:dyDescent="0.3">
      <c r="A908" t="s">
        <v>948</v>
      </c>
      <c r="B908" s="1">
        <v>45836</v>
      </c>
      <c r="C908" t="s">
        <v>13</v>
      </c>
      <c r="D908" t="s">
        <v>14</v>
      </c>
      <c r="E908" t="s">
        <v>58</v>
      </c>
      <c r="F908" t="s">
        <v>21</v>
      </c>
      <c r="G908">
        <v>15</v>
      </c>
      <c r="H908">
        <v>2643</v>
      </c>
      <c r="I908">
        <v>39645</v>
      </c>
      <c r="J908">
        <v>78</v>
      </c>
      <c r="K908">
        <v>6</v>
      </c>
      <c r="L908" t="s">
        <v>17</v>
      </c>
      <c r="M908" t="str">
        <f t="shared" si="28"/>
        <v>Available</v>
      </c>
      <c r="N908">
        <f t="shared" si="29"/>
        <v>7929</v>
      </c>
    </row>
    <row r="909" spans="1:14" x14ac:dyDescent="0.3">
      <c r="A909" t="s">
        <v>949</v>
      </c>
      <c r="B909" s="1">
        <v>45666</v>
      </c>
      <c r="C909" t="s">
        <v>13</v>
      </c>
      <c r="D909" t="s">
        <v>51</v>
      </c>
      <c r="E909" t="s">
        <v>90</v>
      </c>
      <c r="F909" t="s">
        <v>24</v>
      </c>
      <c r="G909">
        <v>17</v>
      </c>
      <c r="H909">
        <v>2664</v>
      </c>
      <c r="I909">
        <v>45288</v>
      </c>
      <c r="J909">
        <v>179</v>
      </c>
      <c r="K909">
        <v>6</v>
      </c>
      <c r="L909" t="s">
        <v>17</v>
      </c>
      <c r="M909" t="str">
        <f t="shared" si="28"/>
        <v>Available</v>
      </c>
      <c r="N909">
        <f t="shared" si="29"/>
        <v>9057.6</v>
      </c>
    </row>
    <row r="910" spans="1:14" x14ac:dyDescent="0.3">
      <c r="A910" t="s">
        <v>950</v>
      </c>
      <c r="B910" s="1">
        <v>45805</v>
      </c>
      <c r="C910" t="s">
        <v>38</v>
      </c>
      <c r="D910" t="s">
        <v>31</v>
      </c>
      <c r="E910" t="s">
        <v>76</v>
      </c>
      <c r="F910" t="s">
        <v>24</v>
      </c>
      <c r="G910">
        <v>11</v>
      </c>
      <c r="H910">
        <v>3588</v>
      </c>
      <c r="I910">
        <v>39468</v>
      </c>
      <c r="J910">
        <v>109</v>
      </c>
      <c r="K910">
        <v>4</v>
      </c>
      <c r="L910" t="s">
        <v>22</v>
      </c>
      <c r="M910" t="str">
        <f t="shared" si="28"/>
        <v>Available</v>
      </c>
      <c r="N910">
        <f t="shared" si="29"/>
        <v>7893.6</v>
      </c>
    </row>
    <row r="911" spans="1:14" x14ac:dyDescent="0.3">
      <c r="A911" t="s">
        <v>951</v>
      </c>
      <c r="B911" s="1">
        <v>45977</v>
      </c>
      <c r="C911" t="s">
        <v>26</v>
      </c>
      <c r="D911" t="s">
        <v>51</v>
      </c>
      <c r="E911" t="s">
        <v>56</v>
      </c>
      <c r="F911" t="s">
        <v>21</v>
      </c>
      <c r="G911">
        <v>3</v>
      </c>
      <c r="H911">
        <v>4404</v>
      </c>
      <c r="I911">
        <v>13212</v>
      </c>
      <c r="J911">
        <v>153</v>
      </c>
      <c r="K911">
        <v>3</v>
      </c>
      <c r="L911" t="s">
        <v>22</v>
      </c>
      <c r="M911" t="str">
        <f t="shared" si="28"/>
        <v>Available</v>
      </c>
      <c r="N911">
        <f t="shared" si="29"/>
        <v>2642.4</v>
      </c>
    </row>
    <row r="912" spans="1:14" x14ac:dyDescent="0.3">
      <c r="A912" t="s">
        <v>952</v>
      </c>
      <c r="B912" s="1">
        <v>45891</v>
      </c>
      <c r="C912" t="s">
        <v>26</v>
      </c>
      <c r="D912" t="s">
        <v>31</v>
      </c>
      <c r="E912" t="s">
        <v>76</v>
      </c>
      <c r="F912" t="s">
        <v>29</v>
      </c>
      <c r="G912">
        <v>4</v>
      </c>
      <c r="H912">
        <v>3881</v>
      </c>
      <c r="I912">
        <v>15524</v>
      </c>
      <c r="J912">
        <v>221</v>
      </c>
      <c r="K912">
        <v>4</v>
      </c>
      <c r="L912" t="s">
        <v>22</v>
      </c>
      <c r="M912" t="str">
        <f t="shared" si="28"/>
        <v>Available</v>
      </c>
      <c r="N912">
        <f t="shared" si="29"/>
        <v>3104.8</v>
      </c>
    </row>
    <row r="913" spans="1:14" x14ac:dyDescent="0.3">
      <c r="A913" t="s">
        <v>953</v>
      </c>
      <c r="B913" s="1">
        <v>45849</v>
      </c>
      <c r="C913" t="s">
        <v>19</v>
      </c>
      <c r="D913" t="s">
        <v>14</v>
      </c>
      <c r="E913" t="s">
        <v>15</v>
      </c>
      <c r="F913" t="s">
        <v>24</v>
      </c>
      <c r="G913">
        <v>23</v>
      </c>
      <c r="H913">
        <v>1088</v>
      </c>
      <c r="I913">
        <v>25024</v>
      </c>
      <c r="J913">
        <v>126</v>
      </c>
      <c r="K913">
        <v>3</v>
      </c>
      <c r="L913" t="s">
        <v>22</v>
      </c>
      <c r="M913" t="str">
        <f t="shared" si="28"/>
        <v>Available</v>
      </c>
      <c r="N913">
        <f t="shared" si="29"/>
        <v>5004.8</v>
      </c>
    </row>
    <row r="914" spans="1:14" x14ac:dyDescent="0.3">
      <c r="A914" t="s">
        <v>954</v>
      </c>
      <c r="B914" s="1">
        <v>45853</v>
      </c>
      <c r="C914" t="s">
        <v>26</v>
      </c>
      <c r="D914" t="s">
        <v>27</v>
      </c>
      <c r="E914" t="s">
        <v>83</v>
      </c>
      <c r="F914" t="s">
        <v>16</v>
      </c>
      <c r="G914">
        <v>6</v>
      </c>
      <c r="H914">
        <v>906</v>
      </c>
      <c r="I914">
        <v>5436</v>
      </c>
      <c r="J914">
        <v>191</v>
      </c>
      <c r="K914">
        <v>5</v>
      </c>
      <c r="L914" t="s">
        <v>22</v>
      </c>
      <c r="M914" t="str">
        <f t="shared" si="28"/>
        <v>Available</v>
      </c>
      <c r="N914">
        <f t="shared" si="29"/>
        <v>1087.2</v>
      </c>
    </row>
    <row r="915" spans="1:14" x14ac:dyDescent="0.3">
      <c r="A915" t="s">
        <v>955</v>
      </c>
      <c r="B915" s="1">
        <v>45903</v>
      </c>
      <c r="C915" t="s">
        <v>13</v>
      </c>
      <c r="D915" t="s">
        <v>31</v>
      </c>
      <c r="E915" t="s">
        <v>40</v>
      </c>
      <c r="F915" t="s">
        <v>29</v>
      </c>
      <c r="G915">
        <v>29</v>
      </c>
      <c r="H915">
        <v>1206</v>
      </c>
      <c r="I915">
        <v>34974</v>
      </c>
      <c r="J915">
        <v>23</v>
      </c>
      <c r="K915">
        <v>3</v>
      </c>
      <c r="L915" t="s">
        <v>22</v>
      </c>
      <c r="M915" t="str">
        <f t="shared" si="28"/>
        <v>Reorder</v>
      </c>
      <c r="N915">
        <f t="shared" si="29"/>
        <v>6994.8</v>
      </c>
    </row>
    <row r="916" spans="1:14" x14ac:dyDescent="0.3">
      <c r="A916" t="s">
        <v>956</v>
      </c>
      <c r="B916" s="1">
        <v>45704</v>
      </c>
      <c r="C916" t="s">
        <v>26</v>
      </c>
      <c r="D916" t="s">
        <v>51</v>
      </c>
      <c r="E916" t="s">
        <v>52</v>
      </c>
      <c r="F916" t="s">
        <v>16</v>
      </c>
      <c r="G916">
        <v>45</v>
      </c>
      <c r="H916">
        <v>3700</v>
      </c>
      <c r="I916">
        <v>166500</v>
      </c>
      <c r="J916">
        <v>229</v>
      </c>
      <c r="K916">
        <v>8</v>
      </c>
      <c r="L916" t="s">
        <v>17</v>
      </c>
      <c r="M916" t="str">
        <f t="shared" si="28"/>
        <v>Available</v>
      </c>
      <c r="N916">
        <f t="shared" si="29"/>
        <v>33300</v>
      </c>
    </row>
    <row r="917" spans="1:14" x14ac:dyDescent="0.3">
      <c r="A917" t="s">
        <v>957</v>
      </c>
      <c r="B917" s="1">
        <v>45762</v>
      </c>
      <c r="C917" t="s">
        <v>38</v>
      </c>
      <c r="D917" t="s">
        <v>31</v>
      </c>
      <c r="E917" t="s">
        <v>32</v>
      </c>
      <c r="F917" t="s">
        <v>16</v>
      </c>
      <c r="G917">
        <v>3</v>
      </c>
      <c r="H917">
        <v>2359</v>
      </c>
      <c r="I917">
        <v>7077</v>
      </c>
      <c r="J917">
        <v>39</v>
      </c>
      <c r="K917">
        <v>6</v>
      </c>
      <c r="L917" t="s">
        <v>17</v>
      </c>
      <c r="M917" t="str">
        <f t="shared" si="28"/>
        <v>Reorder</v>
      </c>
      <c r="N917">
        <f t="shared" si="29"/>
        <v>1415.4</v>
      </c>
    </row>
    <row r="918" spans="1:14" x14ac:dyDescent="0.3">
      <c r="A918" t="s">
        <v>958</v>
      </c>
      <c r="B918" s="1">
        <v>45796</v>
      </c>
      <c r="C918" t="s">
        <v>38</v>
      </c>
      <c r="D918" t="s">
        <v>31</v>
      </c>
      <c r="E918" t="s">
        <v>32</v>
      </c>
      <c r="F918" t="s">
        <v>16</v>
      </c>
      <c r="G918">
        <v>20</v>
      </c>
      <c r="H918">
        <v>2998</v>
      </c>
      <c r="I918">
        <v>59960</v>
      </c>
      <c r="J918">
        <v>154</v>
      </c>
      <c r="K918">
        <v>9</v>
      </c>
      <c r="L918" t="s">
        <v>17</v>
      </c>
      <c r="M918" t="str">
        <f t="shared" si="28"/>
        <v>Available</v>
      </c>
      <c r="N918">
        <f t="shared" si="29"/>
        <v>11992</v>
      </c>
    </row>
    <row r="919" spans="1:14" x14ac:dyDescent="0.3">
      <c r="A919" t="s">
        <v>959</v>
      </c>
      <c r="B919" s="1">
        <v>46005</v>
      </c>
      <c r="C919" t="s">
        <v>13</v>
      </c>
      <c r="D919" t="s">
        <v>31</v>
      </c>
      <c r="E919" t="s">
        <v>32</v>
      </c>
      <c r="F919" t="s">
        <v>29</v>
      </c>
      <c r="G919">
        <v>20</v>
      </c>
      <c r="H919">
        <v>2531</v>
      </c>
      <c r="I919">
        <v>50620</v>
      </c>
      <c r="J919">
        <v>274</v>
      </c>
      <c r="K919">
        <v>3</v>
      </c>
      <c r="L919" t="s">
        <v>22</v>
      </c>
      <c r="M919" t="str">
        <f t="shared" si="28"/>
        <v>Available</v>
      </c>
      <c r="N919">
        <f t="shared" si="29"/>
        <v>10124</v>
      </c>
    </row>
    <row r="920" spans="1:14" x14ac:dyDescent="0.3">
      <c r="A920" t="s">
        <v>960</v>
      </c>
      <c r="B920" s="1">
        <v>45703</v>
      </c>
      <c r="C920" t="s">
        <v>19</v>
      </c>
      <c r="D920" t="s">
        <v>31</v>
      </c>
      <c r="E920" t="s">
        <v>45</v>
      </c>
      <c r="F920" t="s">
        <v>24</v>
      </c>
      <c r="G920">
        <v>18</v>
      </c>
      <c r="H920">
        <v>2081</v>
      </c>
      <c r="I920">
        <v>37458</v>
      </c>
      <c r="J920">
        <v>287</v>
      </c>
      <c r="K920">
        <v>7</v>
      </c>
      <c r="L920" t="s">
        <v>17</v>
      </c>
      <c r="M920" t="str">
        <f t="shared" si="28"/>
        <v>Available</v>
      </c>
      <c r="N920">
        <f t="shared" si="29"/>
        <v>7491.6</v>
      </c>
    </row>
    <row r="921" spans="1:14" x14ac:dyDescent="0.3">
      <c r="A921" t="s">
        <v>961</v>
      </c>
      <c r="B921" s="1">
        <v>45770</v>
      </c>
      <c r="C921" t="s">
        <v>26</v>
      </c>
      <c r="D921" t="s">
        <v>14</v>
      </c>
      <c r="E921" t="s">
        <v>20</v>
      </c>
      <c r="F921" t="s">
        <v>29</v>
      </c>
      <c r="G921">
        <v>4</v>
      </c>
      <c r="H921">
        <v>2216</v>
      </c>
      <c r="I921">
        <v>8864</v>
      </c>
      <c r="J921">
        <v>36</v>
      </c>
      <c r="K921">
        <v>2</v>
      </c>
      <c r="L921" t="s">
        <v>22</v>
      </c>
      <c r="M921" t="str">
        <f t="shared" si="28"/>
        <v>Reorder</v>
      </c>
      <c r="N921">
        <f t="shared" si="29"/>
        <v>1772.8000000000002</v>
      </c>
    </row>
    <row r="922" spans="1:14" x14ac:dyDescent="0.3">
      <c r="A922" t="s">
        <v>962</v>
      </c>
      <c r="B922" s="1">
        <v>45814</v>
      </c>
      <c r="C922" t="s">
        <v>19</v>
      </c>
      <c r="D922" t="s">
        <v>51</v>
      </c>
      <c r="E922" t="s">
        <v>66</v>
      </c>
      <c r="F922" t="s">
        <v>24</v>
      </c>
      <c r="G922">
        <v>3</v>
      </c>
      <c r="H922">
        <v>3766</v>
      </c>
      <c r="I922">
        <v>11298</v>
      </c>
      <c r="J922">
        <v>99</v>
      </c>
      <c r="K922">
        <v>10</v>
      </c>
      <c r="L922" t="s">
        <v>17</v>
      </c>
      <c r="M922" t="str">
        <f t="shared" si="28"/>
        <v>Available</v>
      </c>
      <c r="N922">
        <f t="shared" si="29"/>
        <v>2259.6</v>
      </c>
    </row>
    <row r="923" spans="1:14" x14ac:dyDescent="0.3">
      <c r="A923" t="s">
        <v>963</v>
      </c>
      <c r="B923" s="1">
        <v>45829</v>
      </c>
      <c r="C923" t="s">
        <v>19</v>
      </c>
      <c r="D923" t="s">
        <v>51</v>
      </c>
      <c r="E923" t="s">
        <v>66</v>
      </c>
      <c r="F923" t="s">
        <v>16</v>
      </c>
      <c r="G923">
        <v>49</v>
      </c>
      <c r="H923">
        <v>4200</v>
      </c>
      <c r="I923">
        <v>205800</v>
      </c>
      <c r="J923">
        <v>188</v>
      </c>
      <c r="K923">
        <v>10</v>
      </c>
      <c r="L923" t="s">
        <v>17</v>
      </c>
      <c r="M923" t="str">
        <f t="shared" si="28"/>
        <v>Available</v>
      </c>
      <c r="N923">
        <f t="shared" si="29"/>
        <v>41160</v>
      </c>
    </row>
    <row r="924" spans="1:14" x14ac:dyDescent="0.3">
      <c r="A924" t="s">
        <v>964</v>
      </c>
      <c r="B924" s="1">
        <v>45796</v>
      </c>
      <c r="C924" t="s">
        <v>19</v>
      </c>
      <c r="D924" t="s">
        <v>27</v>
      </c>
      <c r="E924" t="s">
        <v>64</v>
      </c>
      <c r="F924" t="s">
        <v>21</v>
      </c>
      <c r="G924">
        <v>35</v>
      </c>
      <c r="H924">
        <v>1536</v>
      </c>
      <c r="I924">
        <v>53760</v>
      </c>
      <c r="J924">
        <v>139</v>
      </c>
      <c r="K924">
        <v>6</v>
      </c>
      <c r="L924" t="s">
        <v>17</v>
      </c>
      <c r="M924" t="str">
        <f t="shared" si="28"/>
        <v>Available</v>
      </c>
      <c r="N924">
        <f t="shared" si="29"/>
        <v>10752</v>
      </c>
    </row>
    <row r="925" spans="1:14" x14ac:dyDescent="0.3">
      <c r="A925" t="s">
        <v>965</v>
      </c>
      <c r="B925" s="1">
        <v>45663</v>
      </c>
      <c r="C925" t="s">
        <v>38</v>
      </c>
      <c r="D925" t="s">
        <v>51</v>
      </c>
      <c r="E925" t="s">
        <v>66</v>
      </c>
      <c r="F925" t="s">
        <v>29</v>
      </c>
      <c r="G925">
        <v>1</v>
      </c>
      <c r="H925">
        <v>3328</v>
      </c>
      <c r="I925">
        <v>3328</v>
      </c>
      <c r="J925">
        <v>55</v>
      </c>
      <c r="K925">
        <v>9</v>
      </c>
      <c r="L925" t="s">
        <v>17</v>
      </c>
      <c r="M925" t="str">
        <f t="shared" si="28"/>
        <v>Available</v>
      </c>
      <c r="N925">
        <f t="shared" si="29"/>
        <v>665.6</v>
      </c>
    </row>
    <row r="926" spans="1:14" x14ac:dyDescent="0.3">
      <c r="A926" t="s">
        <v>966</v>
      </c>
      <c r="B926" s="1">
        <v>45747</v>
      </c>
      <c r="C926" t="s">
        <v>26</v>
      </c>
      <c r="D926" t="s">
        <v>31</v>
      </c>
      <c r="E926" t="s">
        <v>45</v>
      </c>
      <c r="F926" t="s">
        <v>16</v>
      </c>
      <c r="G926">
        <v>43</v>
      </c>
      <c r="H926">
        <v>2821</v>
      </c>
      <c r="I926">
        <v>121303</v>
      </c>
      <c r="J926">
        <v>264</v>
      </c>
      <c r="K926">
        <v>4</v>
      </c>
      <c r="L926" t="s">
        <v>22</v>
      </c>
      <c r="M926" t="str">
        <f t="shared" si="28"/>
        <v>Available</v>
      </c>
      <c r="N926">
        <f t="shared" si="29"/>
        <v>24260.600000000002</v>
      </c>
    </row>
    <row r="927" spans="1:14" x14ac:dyDescent="0.3">
      <c r="A927" t="s">
        <v>967</v>
      </c>
      <c r="B927" s="1">
        <v>45847</v>
      </c>
      <c r="C927" t="s">
        <v>38</v>
      </c>
      <c r="D927" t="s">
        <v>51</v>
      </c>
      <c r="E927" t="s">
        <v>52</v>
      </c>
      <c r="F927" t="s">
        <v>24</v>
      </c>
      <c r="G927">
        <v>39</v>
      </c>
      <c r="H927">
        <v>2065</v>
      </c>
      <c r="I927">
        <v>80535</v>
      </c>
      <c r="J927">
        <v>295</v>
      </c>
      <c r="K927">
        <v>7</v>
      </c>
      <c r="L927" t="s">
        <v>17</v>
      </c>
      <c r="M927" t="str">
        <f t="shared" si="28"/>
        <v>Available</v>
      </c>
      <c r="N927">
        <f t="shared" si="29"/>
        <v>16107</v>
      </c>
    </row>
    <row r="928" spans="1:14" x14ac:dyDescent="0.3">
      <c r="A928" t="s">
        <v>968</v>
      </c>
      <c r="B928" s="1">
        <v>46015</v>
      </c>
      <c r="C928" t="s">
        <v>13</v>
      </c>
      <c r="D928" t="s">
        <v>14</v>
      </c>
      <c r="E928" t="s">
        <v>15</v>
      </c>
      <c r="F928" t="s">
        <v>29</v>
      </c>
      <c r="G928">
        <v>5</v>
      </c>
      <c r="H928">
        <v>4650</v>
      </c>
      <c r="I928">
        <v>23250</v>
      </c>
      <c r="J928">
        <v>209</v>
      </c>
      <c r="K928">
        <v>6</v>
      </c>
      <c r="L928" t="s">
        <v>17</v>
      </c>
      <c r="M928" t="str">
        <f t="shared" si="28"/>
        <v>Available</v>
      </c>
      <c r="N928">
        <f t="shared" si="29"/>
        <v>4650</v>
      </c>
    </row>
    <row r="929" spans="1:14" x14ac:dyDescent="0.3">
      <c r="A929" t="s">
        <v>969</v>
      </c>
      <c r="B929" s="1">
        <v>46007</v>
      </c>
      <c r="C929" t="s">
        <v>26</v>
      </c>
      <c r="D929" t="s">
        <v>27</v>
      </c>
      <c r="E929" t="s">
        <v>64</v>
      </c>
      <c r="F929" t="s">
        <v>24</v>
      </c>
      <c r="G929">
        <v>17</v>
      </c>
      <c r="H929">
        <v>3678</v>
      </c>
      <c r="I929">
        <v>62526</v>
      </c>
      <c r="J929">
        <v>25</v>
      </c>
      <c r="K929">
        <v>9</v>
      </c>
      <c r="L929" t="s">
        <v>17</v>
      </c>
      <c r="M929" t="str">
        <f t="shared" si="28"/>
        <v>Reorder</v>
      </c>
      <c r="N929">
        <f t="shared" si="29"/>
        <v>12505.2</v>
      </c>
    </row>
    <row r="930" spans="1:14" x14ac:dyDescent="0.3">
      <c r="A930" t="s">
        <v>970</v>
      </c>
      <c r="B930" s="1">
        <v>45678</v>
      </c>
      <c r="C930" t="s">
        <v>13</v>
      </c>
      <c r="D930" t="s">
        <v>51</v>
      </c>
      <c r="E930" t="s">
        <v>66</v>
      </c>
      <c r="F930" t="s">
        <v>16</v>
      </c>
      <c r="G930">
        <v>30</v>
      </c>
      <c r="H930">
        <v>1607</v>
      </c>
      <c r="I930">
        <v>48210</v>
      </c>
      <c r="J930">
        <v>118</v>
      </c>
      <c r="K930">
        <v>4</v>
      </c>
      <c r="L930" t="s">
        <v>22</v>
      </c>
      <c r="M930" t="str">
        <f t="shared" si="28"/>
        <v>Available</v>
      </c>
      <c r="N930">
        <f t="shared" si="29"/>
        <v>9642</v>
      </c>
    </row>
    <row r="931" spans="1:14" x14ac:dyDescent="0.3">
      <c r="A931" t="s">
        <v>971</v>
      </c>
      <c r="B931" s="1">
        <v>45887</v>
      </c>
      <c r="C931" t="s">
        <v>19</v>
      </c>
      <c r="D931" t="s">
        <v>14</v>
      </c>
      <c r="E931" t="s">
        <v>42</v>
      </c>
      <c r="F931" t="s">
        <v>29</v>
      </c>
      <c r="G931">
        <v>38</v>
      </c>
      <c r="H931">
        <v>4106</v>
      </c>
      <c r="I931">
        <v>156028</v>
      </c>
      <c r="J931">
        <v>16</v>
      </c>
      <c r="K931">
        <v>5</v>
      </c>
      <c r="L931" t="s">
        <v>22</v>
      </c>
      <c r="M931" t="str">
        <f t="shared" si="28"/>
        <v>Reorder</v>
      </c>
      <c r="N931">
        <f t="shared" si="29"/>
        <v>31205.600000000002</v>
      </c>
    </row>
    <row r="932" spans="1:14" x14ac:dyDescent="0.3">
      <c r="A932" t="s">
        <v>972</v>
      </c>
      <c r="B932" s="1">
        <v>45849</v>
      </c>
      <c r="C932" t="s">
        <v>19</v>
      </c>
      <c r="D932" t="s">
        <v>31</v>
      </c>
      <c r="E932" t="s">
        <v>40</v>
      </c>
      <c r="F932" t="s">
        <v>29</v>
      </c>
      <c r="G932">
        <v>38</v>
      </c>
      <c r="H932">
        <v>3842</v>
      </c>
      <c r="I932">
        <v>145996</v>
      </c>
      <c r="J932">
        <v>225</v>
      </c>
      <c r="K932">
        <v>2</v>
      </c>
      <c r="L932" t="s">
        <v>22</v>
      </c>
      <c r="M932" t="str">
        <f t="shared" si="28"/>
        <v>Available</v>
      </c>
      <c r="N932">
        <f t="shared" si="29"/>
        <v>29199.200000000001</v>
      </c>
    </row>
    <row r="933" spans="1:14" x14ac:dyDescent="0.3">
      <c r="A933" t="s">
        <v>973</v>
      </c>
      <c r="B933" s="1">
        <v>46000</v>
      </c>
      <c r="C933" t="s">
        <v>26</v>
      </c>
      <c r="D933" t="s">
        <v>14</v>
      </c>
      <c r="E933" t="s">
        <v>42</v>
      </c>
      <c r="F933" t="s">
        <v>21</v>
      </c>
      <c r="G933">
        <v>23</v>
      </c>
      <c r="H933">
        <v>2206</v>
      </c>
      <c r="I933">
        <v>50738</v>
      </c>
      <c r="J933">
        <v>77</v>
      </c>
      <c r="K933">
        <v>9</v>
      </c>
      <c r="L933" t="s">
        <v>17</v>
      </c>
      <c r="M933" t="str">
        <f t="shared" si="28"/>
        <v>Available</v>
      </c>
      <c r="N933">
        <f t="shared" si="29"/>
        <v>10147.6</v>
      </c>
    </row>
    <row r="934" spans="1:14" x14ac:dyDescent="0.3">
      <c r="A934" t="s">
        <v>974</v>
      </c>
      <c r="B934" s="1">
        <v>45924</v>
      </c>
      <c r="C934" t="s">
        <v>13</v>
      </c>
      <c r="D934" t="s">
        <v>51</v>
      </c>
      <c r="E934" t="s">
        <v>90</v>
      </c>
      <c r="F934" t="s">
        <v>21</v>
      </c>
      <c r="G934">
        <v>22</v>
      </c>
      <c r="H934">
        <v>3314</v>
      </c>
      <c r="I934">
        <v>72908</v>
      </c>
      <c r="J934">
        <v>159</v>
      </c>
      <c r="K934">
        <v>9</v>
      </c>
      <c r="L934" t="s">
        <v>17</v>
      </c>
      <c r="M934" t="str">
        <f t="shared" si="28"/>
        <v>Available</v>
      </c>
      <c r="N934">
        <f t="shared" si="29"/>
        <v>14581.6</v>
      </c>
    </row>
    <row r="935" spans="1:14" x14ac:dyDescent="0.3">
      <c r="A935" t="s">
        <v>975</v>
      </c>
      <c r="B935" s="1">
        <v>45732</v>
      </c>
      <c r="C935" t="s">
        <v>26</v>
      </c>
      <c r="D935" t="s">
        <v>31</v>
      </c>
      <c r="E935" t="s">
        <v>45</v>
      </c>
      <c r="F935" t="s">
        <v>24</v>
      </c>
      <c r="G935">
        <v>40</v>
      </c>
      <c r="H935">
        <v>3663</v>
      </c>
      <c r="I935">
        <v>146520</v>
      </c>
      <c r="J935">
        <v>104</v>
      </c>
      <c r="K935">
        <v>8</v>
      </c>
      <c r="L935" t="s">
        <v>17</v>
      </c>
      <c r="M935" t="str">
        <f t="shared" si="28"/>
        <v>Available</v>
      </c>
      <c r="N935">
        <f t="shared" si="29"/>
        <v>29304</v>
      </c>
    </row>
    <row r="936" spans="1:14" x14ac:dyDescent="0.3">
      <c r="A936" t="s">
        <v>976</v>
      </c>
      <c r="B936" s="1">
        <v>45766</v>
      </c>
      <c r="C936" t="s">
        <v>13</v>
      </c>
      <c r="D936" t="s">
        <v>27</v>
      </c>
      <c r="E936" t="s">
        <v>64</v>
      </c>
      <c r="F936" t="s">
        <v>29</v>
      </c>
      <c r="G936">
        <v>3</v>
      </c>
      <c r="H936">
        <v>2415</v>
      </c>
      <c r="I936">
        <v>7245</v>
      </c>
      <c r="J936">
        <v>18</v>
      </c>
      <c r="K936">
        <v>4</v>
      </c>
      <c r="L936" t="s">
        <v>22</v>
      </c>
      <c r="M936" t="str">
        <f t="shared" si="28"/>
        <v>Reorder</v>
      </c>
      <c r="N936">
        <f t="shared" si="29"/>
        <v>1449</v>
      </c>
    </row>
    <row r="937" spans="1:14" x14ac:dyDescent="0.3">
      <c r="A937" t="s">
        <v>977</v>
      </c>
      <c r="B937" s="1">
        <v>45980</v>
      </c>
      <c r="C937" t="s">
        <v>19</v>
      </c>
      <c r="D937" t="s">
        <v>51</v>
      </c>
      <c r="E937" t="s">
        <v>56</v>
      </c>
      <c r="F937" t="s">
        <v>24</v>
      </c>
      <c r="G937">
        <v>3</v>
      </c>
      <c r="H937">
        <v>1086</v>
      </c>
      <c r="I937">
        <v>3258</v>
      </c>
      <c r="J937">
        <v>27</v>
      </c>
      <c r="K937">
        <v>9</v>
      </c>
      <c r="L937" t="s">
        <v>17</v>
      </c>
      <c r="M937" t="str">
        <f t="shared" si="28"/>
        <v>Reorder</v>
      </c>
      <c r="N937">
        <f t="shared" si="29"/>
        <v>651.6</v>
      </c>
    </row>
    <row r="938" spans="1:14" x14ac:dyDescent="0.3">
      <c r="A938" t="s">
        <v>978</v>
      </c>
      <c r="B938" s="1">
        <v>45766</v>
      </c>
      <c r="C938" t="s">
        <v>13</v>
      </c>
      <c r="D938" t="s">
        <v>27</v>
      </c>
      <c r="E938" t="s">
        <v>64</v>
      </c>
      <c r="F938" t="s">
        <v>21</v>
      </c>
      <c r="G938">
        <v>44</v>
      </c>
      <c r="H938">
        <v>4897</v>
      </c>
      <c r="I938">
        <v>215468</v>
      </c>
      <c r="J938">
        <v>89</v>
      </c>
      <c r="K938">
        <v>4</v>
      </c>
      <c r="L938" t="s">
        <v>22</v>
      </c>
      <c r="M938" t="str">
        <f t="shared" si="28"/>
        <v>Available</v>
      </c>
      <c r="N938">
        <f t="shared" si="29"/>
        <v>43093.600000000006</v>
      </c>
    </row>
    <row r="939" spans="1:14" x14ac:dyDescent="0.3">
      <c r="A939" t="s">
        <v>979</v>
      </c>
      <c r="B939" s="1">
        <v>45808</v>
      </c>
      <c r="C939" t="s">
        <v>38</v>
      </c>
      <c r="D939" t="s">
        <v>27</v>
      </c>
      <c r="E939" t="s">
        <v>83</v>
      </c>
      <c r="F939" t="s">
        <v>24</v>
      </c>
      <c r="G939">
        <v>8</v>
      </c>
      <c r="H939">
        <v>4483</v>
      </c>
      <c r="I939">
        <v>35864</v>
      </c>
      <c r="J939">
        <v>40</v>
      </c>
      <c r="K939">
        <v>2</v>
      </c>
      <c r="L939" t="s">
        <v>22</v>
      </c>
      <c r="M939" t="str">
        <f t="shared" si="28"/>
        <v>Reorder</v>
      </c>
      <c r="N939">
        <f t="shared" si="29"/>
        <v>7172.8</v>
      </c>
    </row>
    <row r="940" spans="1:14" x14ac:dyDescent="0.3">
      <c r="A940" t="s">
        <v>980</v>
      </c>
      <c r="B940" s="1">
        <v>45803</v>
      </c>
      <c r="C940" t="s">
        <v>19</v>
      </c>
      <c r="D940" t="s">
        <v>27</v>
      </c>
      <c r="E940" t="s">
        <v>64</v>
      </c>
      <c r="F940" t="s">
        <v>16</v>
      </c>
      <c r="G940">
        <v>25</v>
      </c>
      <c r="H940">
        <v>2564</v>
      </c>
      <c r="I940">
        <v>64100</v>
      </c>
      <c r="J940">
        <v>111</v>
      </c>
      <c r="K940">
        <v>6</v>
      </c>
      <c r="L940" t="s">
        <v>17</v>
      </c>
      <c r="M940" t="str">
        <f t="shared" si="28"/>
        <v>Available</v>
      </c>
      <c r="N940">
        <f t="shared" si="29"/>
        <v>12820</v>
      </c>
    </row>
    <row r="941" spans="1:14" x14ac:dyDescent="0.3">
      <c r="A941" t="s">
        <v>981</v>
      </c>
      <c r="B941" s="1">
        <v>45695</v>
      </c>
      <c r="C941" t="s">
        <v>19</v>
      </c>
      <c r="D941" t="s">
        <v>14</v>
      </c>
      <c r="E941" t="s">
        <v>15</v>
      </c>
      <c r="F941" t="s">
        <v>21</v>
      </c>
      <c r="G941">
        <v>17</v>
      </c>
      <c r="H941">
        <v>2934</v>
      </c>
      <c r="I941">
        <v>49878</v>
      </c>
      <c r="J941">
        <v>181</v>
      </c>
      <c r="K941">
        <v>5</v>
      </c>
      <c r="L941" t="s">
        <v>22</v>
      </c>
      <c r="M941" t="str">
        <f t="shared" si="28"/>
        <v>Available</v>
      </c>
      <c r="N941">
        <f t="shared" si="29"/>
        <v>9975.6</v>
      </c>
    </row>
    <row r="942" spans="1:14" x14ac:dyDescent="0.3">
      <c r="A942" t="s">
        <v>982</v>
      </c>
      <c r="B942" s="1">
        <v>45812</v>
      </c>
      <c r="C942" t="s">
        <v>26</v>
      </c>
      <c r="D942" t="s">
        <v>14</v>
      </c>
      <c r="E942" t="s">
        <v>20</v>
      </c>
      <c r="F942" t="s">
        <v>16</v>
      </c>
      <c r="G942">
        <v>35</v>
      </c>
      <c r="H942">
        <v>4347</v>
      </c>
      <c r="I942">
        <v>152145</v>
      </c>
      <c r="J942">
        <v>219</v>
      </c>
      <c r="K942">
        <v>9</v>
      </c>
      <c r="L942" t="s">
        <v>17</v>
      </c>
      <c r="M942" t="str">
        <f t="shared" si="28"/>
        <v>Available</v>
      </c>
      <c r="N942">
        <f t="shared" si="29"/>
        <v>30429</v>
      </c>
    </row>
    <row r="943" spans="1:14" x14ac:dyDescent="0.3">
      <c r="A943" t="s">
        <v>983</v>
      </c>
      <c r="B943" s="1">
        <v>45796</v>
      </c>
      <c r="C943" t="s">
        <v>38</v>
      </c>
      <c r="D943" t="s">
        <v>51</v>
      </c>
      <c r="E943" t="s">
        <v>52</v>
      </c>
      <c r="F943" t="s">
        <v>24</v>
      </c>
      <c r="G943">
        <v>9</v>
      </c>
      <c r="H943">
        <v>3996</v>
      </c>
      <c r="I943">
        <v>35964</v>
      </c>
      <c r="J943">
        <v>116</v>
      </c>
      <c r="K943">
        <v>5</v>
      </c>
      <c r="L943" t="s">
        <v>22</v>
      </c>
      <c r="M943" t="str">
        <f t="shared" si="28"/>
        <v>Available</v>
      </c>
      <c r="N943">
        <f t="shared" si="29"/>
        <v>7192.8</v>
      </c>
    </row>
    <row r="944" spans="1:14" x14ac:dyDescent="0.3">
      <c r="A944" t="s">
        <v>984</v>
      </c>
      <c r="B944" s="1">
        <v>45902</v>
      </c>
      <c r="C944" t="s">
        <v>38</v>
      </c>
      <c r="D944" t="s">
        <v>51</v>
      </c>
      <c r="E944" t="s">
        <v>52</v>
      </c>
      <c r="F944" t="s">
        <v>24</v>
      </c>
      <c r="G944">
        <v>48</v>
      </c>
      <c r="H944">
        <v>3208</v>
      </c>
      <c r="I944">
        <v>153984</v>
      </c>
      <c r="J944">
        <v>247</v>
      </c>
      <c r="K944">
        <v>4</v>
      </c>
      <c r="L944" t="s">
        <v>22</v>
      </c>
      <c r="M944" t="str">
        <f t="shared" si="28"/>
        <v>Available</v>
      </c>
      <c r="N944">
        <f t="shared" si="29"/>
        <v>30796.800000000003</v>
      </c>
    </row>
    <row r="945" spans="1:14" x14ac:dyDescent="0.3">
      <c r="A945" t="s">
        <v>985</v>
      </c>
      <c r="B945" s="1">
        <v>45910</v>
      </c>
      <c r="C945" t="s">
        <v>13</v>
      </c>
      <c r="D945" t="s">
        <v>51</v>
      </c>
      <c r="E945" t="s">
        <v>56</v>
      </c>
      <c r="F945" t="s">
        <v>24</v>
      </c>
      <c r="G945">
        <v>48</v>
      </c>
      <c r="H945">
        <v>2846</v>
      </c>
      <c r="I945">
        <v>136608</v>
      </c>
      <c r="J945">
        <v>147</v>
      </c>
      <c r="K945">
        <v>8</v>
      </c>
      <c r="L945" t="s">
        <v>17</v>
      </c>
      <c r="M945" t="str">
        <f t="shared" si="28"/>
        <v>Available</v>
      </c>
      <c r="N945">
        <f t="shared" si="29"/>
        <v>27321.600000000002</v>
      </c>
    </row>
    <row r="946" spans="1:14" x14ac:dyDescent="0.3">
      <c r="A946" t="s">
        <v>986</v>
      </c>
      <c r="B946" s="1">
        <v>45870</v>
      </c>
      <c r="C946" t="s">
        <v>26</v>
      </c>
      <c r="D946" t="s">
        <v>14</v>
      </c>
      <c r="E946" t="s">
        <v>20</v>
      </c>
      <c r="F946" t="s">
        <v>21</v>
      </c>
      <c r="G946">
        <v>20</v>
      </c>
      <c r="H946">
        <v>955</v>
      </c>
      <c r="I946">
        <v>19100</v>
      </c>
      <c r="J946">
        <v>61</v>
      </c>
      <c r="K946">
        <v>2</v>
      </c>
      <c r="L946" t="s">
        <v>22</v>
      </c>
      <c r="M946" t="str">
        <f t="shared" si="28"/>
        <v>Available</v>
      </c>
      <c r="N946">
        <f t="shared" si="29"/>
        <v>3820</v>
      </c>
    </row>
    <row r="947" spans="1:14" x14ac:dyDescent="0.3">
      <c r="A947" t="s">
        <v>987</v>
      </c>
      <c r="B947" s="1">
        <v>45999</v>
      </c>
      <c r="C947" t="s">
        <v>26</v>
      </c>
      <c r="D947" t="s">
        <v>51</v>
      </c>
      <c r="E947" t="s">
        <v>56</v>
      </c>
      <c r="F947" t="s">
        <v>24</v>
      </c>
      <c r="G947">
        <v>40</v>
      </c>
      <c r="H947">
        <v>3048</v>
      </c>
      <c r="I947">
        <v>121920</v>
      </c>
      <c r="J947">
        <v>17</v>
      </c>
      <c r="K947">
        <v>8</v>
      </c>
      <c r="L947" t="s">
        <v>17</v>
      </c>
      <c r="M947" t="str">
        <f t="shared" si="28"/>
        <v>Reorder</v>
      </c>
      <c r="N947">
        <f t="shared" si="29"/>
        <v>24384</v>
      </c>
    </row>
    <row r="948" spans="1:14" x14ac:dyDescent="0.3">
      <c r="A948" t="s">
        <v>988</v>
      </c>
      <c r="B948" s="1">
        <v>45879</v>
      </c>
      <c r="C948" t="s">
        <v>26</v>
      </c>
      <c r="D948" t="s">
        <v>14</v>
      </c>
      <c r="E948" t="s">
        <v>20</v>
      </c>
      <c r="F948" t="s">
        <v>21</v>
      </c>
      <c r="G948">
        <v>27</v>
      </c>
      <c r="H948">
        <v>3500</v>
      </c>
      <c r="I948">
        <v>94500</v>
      </c>
      <c r="J948">
        <v>80</v>
      </c>
      <c r="K948">
        <v>5</v>
      </c>
      <c r="L948" t="s">
        <v>22</v>
      </c>
      <c r="M948" t="str">
        <f t="shared" si="28"/>
        <v>Available</v>
      </c>
      <c r="N948">
        <f t="shared" si="29"/>
        <v>18900</v>
      </c>
    </row>
    <row r="949" spans="1:14" x14ac:dyDescent="0.3">
      <c r="A949" t="s">
        <v>989</v>
      </c>
      <c r="B949" s="1">
        <v>45757</v>
      </c>
      <c r="C949" t="s">
        <v>38</v>
      </c>
      <c r="D949" t="s">
        <v>51</v>
      </c>
      <c r="E949" t="s">
        <v>52</v>
      </c>
      <c r="F949" t="s">
        <v>24</v>
      </c>
      <c r="G949">
        <v>43</v>
      </c>
      <c r="H949">
        <v>2401</v>
      </c>
      <c r="I949">
        <v>103243</v>
      </c>
      <c r="J949">
        <v>156</v>
      </c>
      <c r="K949">
        <v>2</v>
      </c>
      <c r="L949" t="s">
        <v>22</v>
      </c>
      <c r="M949" t="str">
        <f t="shared" si="28"/>
        <v>Available</v>
      </c>
      <c r="N949">
        <f t="shared" si="29"/>
        <v>20648.600000000002</v>
      </c>
    </row>
    <row r="950" spans="1:14" x14ac:dyDescent="0.3">
      <c r="A950" t="s">
        <v>990</v>
      </c>
      <c r="B950" s="1">
        <v>46016</v>
      </c>
      <c r="C950" t="s">
        <v>13</v>
      </c>
      <c r="D950" t="s">
        <v>14</v>
      </c>
      <c r="E950" t="s">
        <v>58</v>
      </c>
      <c r="F950" t="s">
        <v>29</v>
      </c>
      <c r="G950">
        <v>8</v>
      </c>
      <c r="H950">
        <v>4454</v>
      </c>
      <c r="I950">
        <v>35632</v>
      </c>
      <c r="J950">
        <v>35</v>
      </c>
      <c r="K950">
        <v>8</v>
      </c>
      <c r="L950" t="s">
        <v>17</v>
      </c>
      <c r="M950" t="str">
        <f t="shared" si="28"/>
        <v>Reorder</v>
      </c>
      <c r="N950">
        <f t="shared" si="29"/>
        <v>7126.4000000000005</v>
      </c>
    </row>
    <row r="951" spans="1:14" x14ac:dyDescent="0.3">
      <c r="A951" t="s">
        <v>991</v>
      </c>
      <c r="B951" s="1">
        <v>45748</v>
      </c>
      <c r="C951" t="s">
        <v>13</v>
      </c>
      <c r="D951" t="s">
        <v>51</v>
      </c>
      <c r="E951" t="s">
        <v>90</v>
      </c>
      <c r="F951" t="s">
        <v>24</v>
      </c>
      <c r="G951">
        <v>15</v>
      </c>
      <c r="H951">
        <v>4407</v>
      </c>
      <c r="I951">
        <v>66105</v>
      </c>
      <c r="J951">
        <v>106</v>
      </c>
      <c r="K951">
        <v>3</v>
      </c>
      <c r="L951" t="s">
        <v>22</v>
      </c>
      <c r="M951" t="str">
        <f t="shared" si="28"/>
        <v>Available</v>
      </c>
      <c r="N951">
        <f t="shared" si="29"/>
        <v>13221</v>
      </c>
    </row>
    <row r="952" spans="1:14" x14ac:dyDescent="0.3">
      <c r="A952" t="s">
        <v>992</v>
      </c>
      <c r="B952" s="1">
        <v>45670</v>
      </c>
      <c r="C952" t="s">
        <v>13</v>
      </c>
      <c r="D952" t="s">
        <v>31</v>
      </c>
      <c r="E952" t="s">
        <v>45</v>
      </c>
      <c r="F952" t="s">
        <v>21</v>
      </c>
      <c r="G952">
        <v>19</v>
      </c>
      <c r="H952">
        <v>3737</v>
      </c>
      <c r="I952">
        <v>71003</v>
      </c>
      <c r="J952">
        <v>109</v>
      </c>
      <c r="K952">
        <v>3</v>
      </c>
      <c r="L952" t="s">
        <v>22</v>
      </c>
      <c r="M952" t="str">
        <f t="shared" si="28"/>
        <v>Available</v>
      </c>
      <c r="N952">
        <f t="shared" si="29"/>
        <v>14200.6</v>
      </c>
    </row>
    <row r="953" spans="1:14" x14ac:dyDescent="0.3">
      <c r="A953" t="s">
        <v>993</v>
      </c>
      <c r="B953" s="1">
        <v>45863</v>
      </c>
      <c r="C953" t="s">
        <v>26</v>
      </c>
      <c r="D953" t="s">
        <v>27</v>
      </c>
      <c r="E953" t="s">
        <v>64</v>
      </c>
      <c r="F953" t="s">
        <v>21</v>
      </c>
      <c r="G953">
        <v>8</v>
      </c>
      <c r="H953">
        <v>2899</v>
      </c>
      <c r="I953">
        <v>23192</v>
      </c>
      <c r="J953">
        <v>76</v>
      </c>
      <c r="K953">
        <v>3</v>
      </c>
      <c r="L953" t="s">
        <v>22</v>
      </c>
      <c r="M953" t="str">
        <f t="shared" si="28"/>
        <v>Available</v>
      </c>
      <c r="N953">
        <f t="shared" si="29"/>
        <v>4638.4000000000005</v>
      </c>
    </row>
    <row r="954" spans="1:14" x14ac:dyDescent="0.3">
      <c r="A954" t="s">
        <v>994</v>
      </c>
      <c r="B954" s="1">
        <v>45690</v>
      </c>
      <c r="C954" t="s">
        <v>38</v>
      </c>
      <c r="D954" t="s">
        <v>14</v>
      </c>
      <c r="E954" t="s">
        <v>42</v>
      </c>
      <c r="F954" t="s">
        <v>16</v>
      </c>
      <c r="G954">
        <v>17</v>
      </c>
      <c r="H954">
        <v>2622</v>
      </c>
      <c r="I954">
        <v>44574</v>
      </c>
      <c r="J954">
        <v>30</v>
      </c>
      <c r="K954">
        <v>4</v>
      </c>
      <c r="L954" t="s">
        <v>22</v>
      </c>
      <c r="M954" t="str">
        <f t="shared" si="28"/>
        <v>Reorder</v>
      </c>
      <c r="N954">
        <f t="shared" si="29"/>
        <v>8914.8000000000011</v>
      </c>
    </row>
    <row r="955" spans="1:14" x14ac:dyDescent="0.3">
      <c r="A955" t="s">
        <v>995</v>
      </c>
      <c r="B955" s="1">
        <v>45848</v>
      </c>
      <c r="C955" t="s">
        <v>19</v>
      </c>
      <c r="D955" t="s">
        <v>51</v>
      </c>
      <c r="E955" t="s">
        <v>66</v>
      </c>
      <c r="F955" t="s">
        <v>21</v>
      </c>
      <c r="G955">
        <v>9</v>
      </c>
      <c r="H955">
        <v>1465</v>
      </c>
      <c r="I955">
        <v>13185</v>
      </c>
      <c r="J955">
        <v>52</v>
      </c>
      <c r="K955">
        <v>8</v>
      </c>
      <c r="L955" t="s">
        <v>17</v>
      </c>
      <c r="M955" t="str">
        <f t="shared" si="28"/>
        <v>Available</v>
      </c>
      <c r="N955">
        <f t="shared" si="29"/>
        <v>2637</v>
      </c>
    </row>
    <row r="956" spans="1:14" x14ac:dyDescent="0.3">
      <c r="A956" t="s">
        <v>996</v>
      </c>
      <c r="B956" s="1">
        <v>45759</v>
      </c>
      <c r="C956" t="s">
        <v>19</v>
      </c>
      <c r="D956" t="s">
        <v>31</v>
      </c>
      <c r="E956" t="s">
        <v>45</v>
      </c>
      <c r="F956" t="s">
        <v>16</v>
      </c>
      <c r="G956">
        <v>41</v>
      </c>
      <c r="H956">
        <v>983</v>
      </c>
      <c r="I956">
        <v>40303</v>
      </c>
      <c r="J956">
        <v>252</v>
      </c>
      <c r="K956">
        <v>3</v>
      </c>
      <c r="L956" t="s">
        <v>22</v>
      </c>
      <c r="M956" t="str">
        <f t="shared" si="28"/>
        <v>Available</v>
      </c>
      <c r="N956">
        <f t="shared" si="29"/>
        <v>8060.6</v>
      </c>
    </row>
    <row r="957" spans="1:14" x14ac:dyDescent="0.3">
      <c r="A957" t="s">
        <v>997</v>
      </c>
      <c r="B957" s="1">
        <v>46017</v>
      </c>
      <c r="C957" t="s">
        <v>38</v>
      </c>
      <c r="D957" t="s">
        <v>14</v>
      </c>
      <c r="E957" t="s">
        <v>58</v>
      </c>
      <c r="F957" t="s">
        <v>24</v>
      </c>
      <c r="G957">
        <v>4</v>
      </c>
      <c r="H957">
        <v>2538</v>
      </c>
      <c r="I957">
        <v>10152</v>
      </c>
      <c r="J957">
        <v>228</v>
      </c>
      <c r="K957">
        <v>2</v>
      </c>
      <c r="L957" t="s">
        <v>22</v>
      </c>
      <c r="M957" t="str">
        <f t="shared" si="28"/>
        <v>Available</v>
      </c>
      <c r="N957">
        <f t="shared" si="29"/>
        <v>2030.4</v>
      </c>
    </row>
    <row r="958" spans="1:14" x14ac:dyDescent="0.3">
      <c r="A958" t="s">
        <v>998</v>
      </c>
      <c r="B958" s="1">
        <v>45943</v>
      </c>
      <c r="C958" t="s">
        <v>13</v>
      </c>
      <c r="D958" t="s">
        <v>14</v>
      </c>
      <c r="E958" t="s">
        <v>15</v>
      </c>
      <c r="F958" t="s">
        <v>24</v>
      </c>
      <c r="G958">
        <v>45</v>
      </c>
      <c r="H958">
        <v>4418</v>
      </c>
      <c r="I958">
        <v>198810</v>
      </c>
      <c r="J958">
        <v>223</v>
      </c>
      <c r="K958">
        <v>7</v>
      </c>
      <c r="L958" t="s">
        <v>17</v>
      </c>
      <c r="M958" t="str">
        <f t="shared" si="28"/>
        <v>Available</v>
      </c>
      <c r="N958">
        <f t="shared" si="29"/>
        <v>39762</v>
      </c>
    </row>
    <row r="959" spans="1:14" x14ac:dyDescent="0.3">
      <c r="A959" t="s">
        <v>999</v>
      </c>
      <c r="B959" s="1">
        <v>45953</v>
      </c>
      <c r="C959" t="s">
        <v>13</v>
      </c>
      <c r="D959" t="s">
        <v>51</v>
      </c>
      <c r="E959" t="s">
        <v>52</v>
      </c>
      <c r="F959" t="s">
        <v>29</v>
      </c>
      <c r="G959">
        <v>2</v>
      </c>
      <c r="H959">
        <v>3349</v>
      </c>
      <c r="I959">
        <v>6698</v>
      </c>
      <c r="J959">
        <v>202</v>
      </c>
      <c r="K959">
        <v>5</v>
      </c>
      <c r="L959" t="s">
        <v>22</v>
      </c>
      <c r="M959" t="str">
        <f t="shared" si="28"/>
        <v>Available</v>
      </c>
      <c r="N959">
        <f t="shared" si="29"/>
        <v>1339.6000000000001</v>
      </c>
    </row>
    <row r="960" spans="1:14" x14ac:dyDescent="0.3">
      <c r="A960" t="s">
        <v>1000</v>
      </c>
      <c r="B960" s="1">
        <v>45922</v>
      </c>
      <c r="C960" t="s">
        <v>38</v>
      </c>
      <c r="D960" t="s">
        <v>14</v>
      </c>
      <c r="E960" t="s">
        <v>42</v>
      </c>
      <c r="F960" t="s">
        <v>24</v>
      </c>
      <c r="G960">
        <v>30</v>
      </c>
      <c r="H960">
        <v>2425</v>
      </c>
      <c r="I960">
        <v>72750</v>
      </c>
      <c r="J960">
        <v>79</v>
      </c>
      <c r="K960">
        <v>8</v>
      </c>
      <c r="L960" t="s">
        <v>17</v>
      </c>
      <c r="M960" t="str">
        <f t="shared" si="28"/>
        <v>Available</v>
      </c>
      <c r="N960">
        <f t="shared" si="29"/>
        <v>14550</v>
      </c>
    </row>
    <row r="961" spans="1:14" x14ac:dyDescent="0.3">
      <c r="A961" t="s">
        <v>1001</v>
      </c>
      <c r="B961" s="1">
        <v>45724</v>
      </c>
      <c r="C961" t="s">
        <v>13</v>
      </c>
      <c r="D961" t="s">
        <v>31</v>
      </c>
      <c r="E961" t="s">
        <v>32</v>
      </c>
      <c r="F961" t="s">
        <v>16</v>
      </c>
      <c r="G961">
        <v>22</v>
      </c>
      <c r="H961">
        <v>3253</v>
      </c>
      <c r="I961">
        <v>71566</v>
      </c>
      <c r="J961">
        <v>64</v>
      </c>
      <c r="K961">
        <v>8</v>
      </c>
      <c r="L961" t="s">
        <v>17</v>
      </c>
      <c r="M961" t="str">
        <f t="shared" si="28"/>
        <v>Available</v>
      </c>
      <c r="N961">
        <f t="shared" si="29"/>
        <v>14313.2</v>
      </c>
    </row>
    <row r="962" spans="1:14" x14ac:dyDescent="0.3">
      <c r="A962" t="s">
        <v>1002</v>
      </c>
      <c r="B962" s="1">
        <v>45894</v>
      </c>
      <c r="C962" t="s">
        <v>19</v>
      </c>
      <c r="D962" t="s">
        <v>51</v>
      </c>
      <c r="E962" t="s">
        <v>56</v>
      </c>
      <c r="F962" t="s">
        <v>16</v>
      </c>
      <c r="G962">
        <v>27</v>
      </c>
      <c r="H962">
        <v>2901</v>
      </c>
      <c r="I962">
        <v>78327</v>
      </c>
      <c r="J962">
        <v>237</v>
      </c>
      <c r="K962">
        <v>7</v>
      </c>
      <c r="L962" t="s">
        <v>17</v>
      </c>
      <c r="M962" t="str">
        <f t="shared" si="28"/>
        <v>Available</v>
      </c>
      <c r="N962">
        <f t="shared" si="29"/>
        <v>15665.400000000001</v>
      </c>
    </row>
    <row r="963" spans="1:14" x14ac:dyDescent="0.3">
      <c r="A963" t="s">
        <v>1003</v>
      </c>
      <c r="B963" s="1">
        <v>45878</v>
      </c>
      <c r="C963" t="s">
        <v>19</v>
      </c>
      <c r="D963" t="s">
        <v>14</v>
      </c>
      <c r="E963" t="s">
        <v>42</v>
      </c>
      <c r="F963" t="s">
        <v>29</v>
      </c>
      <c r="G963">
        <v>46</v>
      </c>
      <c r="H963">
        <v>1208</v>
      </c>
      <c r="I963">
        <v>55568</v>
      </c>
      <c r="J963">
        <v>60</v>
      </c>
      <c r="K963">
        <v>6</v>
      </c>
      <c r="L963" t="s">
        <v>17</v>
      </c>
      <c r="M963" t="str">
        <f t="shared" ref="M963:M1001" si="30">IF(J963&lt;50,"Reorder","Available")</f>
        <v>Available</v>
      </c>
      <c r="N963">
        <f t="shared" ref="N963:N1001" si="31">I963*20%</f>
        <v>11113.6</v>
      </c>
    </row>
    <row r="964" spans="1:14" x14ac:dyDescent="0.3">
      <c r="A964" t="s">
        <v>1004</v>
      </c>
      <c r="B964" s="1">
        <v>46012</v>
      </c>
      <c r="C964" t="s">
        <v>26</v>
      </c>
      <c r="D964" t="s">
        <v>51</v>
      </c>
      <c r="E964" t="s">
        <v>52</v>
      </c>
      <c r="F964" t="s">
        <v>21</v>
      </c>
      <c r="G964">
        <v>15</v>
      </c>
      <c r="H964">
        <v>692</v>
      </c>
      <c r="I964">
        <v>10380</v>
      </c>
      <c r="J964">
        <v>123</v>
      </c>
      <c r="K964">
        <v>3</v>
      </c>
      <c r="L964" t="s">
        <v>22</v>
      </c>
      <c r="M964" t="str">
        <f t="shared" si="30"/>
        <v>Available</v>
      </c>
      <c r="N964">
        <f t="shared" si="31"/>
        <v>2076</v>
      </c>
    </row>
    <row r="965" spans="1:14" x14ac:dyDescent="0.3">
      <c r="A965" t="s">
        <v>1005</v>
      </c>
      <c r="B965" s="1">
        <v>46012</v>
      </c>
      <c r="C965" t="s">
        <v>13</v>
      </c>
      <c r="D965" t="s">
        <v>31</v>
      </c>
      <c r="E965" t="s">
        <v>40</v>
      </c>
      <c r="F965" t="s">
        <v>29</v>
      </c>
      <c r="G965">
        <v>27</v>
      </c>
      <c r="H965">
        <v>1021</v>
      </c>
      <c r="I965">
        <v>27567</v>
      </c>
      <c r="J965">
        <v>37</v>
      </c>
      <c r="K965">
        <v>7</v>
      </c>
      <c r="L965" t="s">
        <v>17</v>
      </c>
      <c r="M965" t="str">
        <f t="shared" si="30"/>
        <v>Reorder</v>
      </c>
      <c r="N965">
        <f t="shared" si="31"/>
        <v>5513.4000000000005</v>
      </c>
    </row>
    <row r="966" spans="1:14" x14ac:dyDescent="0.3">
      <c r="A966" t="s">
        <v>1006</v>
      </c>
      <c r="B966" s="1">
        <v>45683</v>
      </c>
      <c r="C966" t="s">
        <v>19</v>
      </c>
      <c r="D966" t="s">
        <v>27</v>
      </c>
      <c r="E966" t="s">
        <v>83</v>
      </c>
      <c r="F966" t="s">
        <v>16</v>
      </c>
      <c r="G966">
        <v>13</v>
      </c>
      <c r="H966">
        <v>2787</v>
      </c>
      <c r="I966">
        <v>36231</v>
      </c>
      <c r="J966">
        <v>41</v>
      </c>
      <c r="K966">
        <v>8</v>
      </c>
      <c r="L966" t="s">
        <v>17</v>
      </c>
      <c r="M966" t="str">
        <f t="shared" si="30"/>
        <v>Reorder</v>
      </c>
      <c r="N966">
        <f t="shared" si="31"/>
        <v>7246.2000000000007</v>
      </c>
    </row>
    <row r="967" spans="1:14" x14ac:dyDescent="0.3">
      <c r="A967" t="s">
        <v>1007</v>
      </c>
      <c r="B967" s="1">
        <v>45782</v>
      </c>
      <c r="C967" t="s">
        <v>19</v>
      </c>
      <c r="D967" t="s">
        <v>27</v>
      </c>
      <c r="E967" t="s">
        <v>28</v>
      </c>
      <c r="F967" t="s">
        <v>24</v>
      </c>
      <c r="G967">
        <v>1</v>
      </c>
      <c r="H967">
        <v>2627</v>
      </c>
      <c r="I967">
        <v>2627</v>
      </c>
      <c r="J967">
        <v>253</v>
      </c>
      <c r="K967">
        <v>6</v>
      </c>
      <c r="L967" t="s">
        <v>17</v>
      </c>
      <c r="M967" t="str">
        <f t="shared" si="30"/>
        <v>Available</v>
      </c>
      <c r="N967">
        <f t="shared" si="31"/>
        <v>525.4</v>
      </c>
    </row>
    <row r="968" spans="1:14" x14ac:dyDescent="0.3">
      <c r="A968" t="s">
        <v>1008</v>
      </c>
      <c r="B968" s="1">
        <v>45938</v>
      </c>
      <c r="C968" t="s">
        <v>13</v>
      </c>
      <c r="D968" t="s">
        <v>14</v>
      </c>
      <c r="E968" t="s">
        <v>42</v>
      </c>
      <c r="F968" t="s">
        <v>24</v>
      </c>
      <c r="G968">
        <v>45</v>
      </c>
      <c r="H968">
        <v>1466</v>
      </c>
      <c r="I968">
        <v>65970</v>
      </c>
      <c r="J968">
        <v>142</v>
      </c>
      <c r="K968">
        <v>9</v>
      </c>
      <c r="L968" t="s">
        <v>17</v>
      </c>
      <c r="M968" t="str">
        <f t="shared" si="30"/>
        <v>Available</v>
      </c>
      <c r="N968">
        <f t="shared" si="31"/>
        <v>13194</v>
      </c>
    </row>
    <row r="969" spans="1:14" x14ac:dyDescent="0.3">
      <c r="A969" t="s">
        <v>1009</v>
      </c>
      <c r="B969" s="1">
        <v>46010</v>
      </c>
      <c r="C969" t="s">
        <v>26</v>
      </c>
      <c r="D969" t="s">
        <v>31</v>
      </c>
      <c r="E969" t="s">
        <v>76</v>
      </c>
      <c r="F969" t="s">
        <v>16</v>
      </c>
      <c r="G969">
        <v>24</v>
      </c>
      <c r="H969">
        <v>1326</v>
      </c>
      <c r="I969">
        <v>31824</v>
      </c>
      <c r="J969">
        <v>77</v>
      </c>
      <c r="K969">
        <v>6</v>
      </c>
      <c r="L969" t="s">
        <v>17</v>
      </c>
      <c r="M969" t="str">
        <f t="shared" si="30"/>
        <v>Available</v>
      </c>
      <c r="N969">
        <f t="shared" si="31"/>
        <v>6364.8</v>
      </c>
    </row>
    <row r="970" spans="1:14" x14ac:dyDescent="0.3">
      <c r="A970" t="s">
        <v>1010</v>
      </c>
      <c r="B970" s="1">
        <v>45883</v>
      </c>
      <c r="C970" t="s">
        <v>19</v>
      </c>
      <c r="D970" t="s">
        <v>27</v>
      </c>
      <c r="E970" t="s">
        <v>83</v>
      </c>
      <c r="F970" t="s">
        <v>24</v>
      </c>
      <c r="G970">
        <v>25</v>
      </c>
      <c r="H970">
        <v>2250</v>
      </c>
      <c r="I970">
        <v>56250</v>
      </c>
      <c r="J970">
        <v>86</v>
      </c>
      <c r="K970">
        <v>7</v>
      </c>
      <c r="L970" t="s">
        <v>17</v>
      </c>
      <c r="M970" t="str">
        <f t="shared" si="30"/>
        <v>Available</v>
      </c>
      <c r="N970">
        <f t="shared" si="31"/>
        <v>11250</v>
      </c>
    </row>
    <row r="971" spans="1:14" x14ac:dyDescent="0.3">
      <c r="A971" t="s">
        <v>1011</v>
      </c>
      <c r="B971" s="1">
        <v>45793</v>
      </c>
      <c r="C971" t="s">
        <v>19</v>
      </c>
      <c r="D971" t="s">
        <v>31</v>
      </c>
      <c r="E971" t="s">
        <v>32</v>
      </c>
      <c r="F971" t="s">
        <v>16</v>
      </c>
      <c r="G971">
        <v>12</v>
      </c>
      <c r="H971">
        <v>1992</v>
      </c>
      <c r="I971">
        <v>23904</v>
      </c>
      <c r="J971">
        <v>262</v>
      </c>
      <c r="K971">
        <v>7</v>
      </c>
      <c r="L971" t="s">
        <v>17</v>
      </c>
      <c r="M971" t="str">
        <f t="shared" si="30"/>
        <v>Available</v>
      </c>
      <c r="N971">
        <f t="shared" si="31"/>
        <v>4780.8</v>
      </c>
    </row>
    <row r="972" spans="1:14" x14ac:dyDescent="0.3">
      <c r="A972" t="s">
        <v>1012</v>
      </c>
      <c r="B972" s="1">
        <v>45915</v>
      </c>
      <c r="C972" t="s">
        <v>19</v>
      </c>
      <c r="D972" t="s">
        <v>51</v>
      </c>
      <c r="E972" t="s">
        <v>52</v>
      </c>
      <c r="F972" t="s">
        <v>16</v>
      </c>
      <c r="G972">
        <v>49</v>
      </c>
      <c r="H972">
        <v>3732</v>
      </c>
      <c r="I972">
        <v>182868</v>
      </c>
      <c r="J972">
        <v>182</v>
      </c>
      <c r="K972">
        <v>4</v>
      </c>
      <c r="L972" t="s">
        <v>22</v>
      </c>
      <c r="M972" t="str">
        <f t="shared" si="30"/>
        <v>Available</v>
      </c>
      <c r="N972">
        <f t="shared" si="31"/>
        <v>36573.599999999999</v>
      </c>
    </row>
    <row r="973" spans="1:14" x14ac:dyDescent="0.3">
      <c r="A973" t="s">
        <v>1013</v>
      </c>
      <c r="B973" s="1">
        <v>45705</v>
      </c>
      <c r="C973" t="s">
        <v>26</v>
      </c>
      <c r="D973" t="s">
        <v>27</v>
      </c>
      <c r="E973" t="s">
        <v>34</v>
      </c>
      <c r="F973" t="s">
        <v>16</v>
      </c>
      <c r="G973">
        <v>48</v>
      </c>
      <c r="H973">
        <v>4309</v>
      </c>
      <c r="I973">
        <v>206832</v>
      </c>
      <c r="J973">
        <v>163</v>
      </c>
      <c r="K973">
        <v>9</v>
      </c>
      <c r="L973" t="s">
        <v>17</v>
      </c>
      <c r="M973" t="str">
        <f t="shared" si="30"/>
        <v>Available</v>
      </c>
      <c r="N973">
        <f t="shared" si="31"/>
        <v>41366.400000000001</v>
      </c>
    </row>
    <row r="974" spans="1:14" x14ac:dyDescent="0.3">
      <c r="A974" t="s">
        <v>1014</v>
      </c>
      <c r="B974" s="1">
        <v>45718</v>
      </c>
      <c r="C974" t="s">
        <v>13</v>
      </c>
      <c r="D974" t="s">
        <v>27</v>
      </c>
      <c r="E974" t="s">
        <v>28</v>
      </c>
      <c r="F974" t="s">
        <v>16</v>
      </c>
      <c r="G974">
        <v>29</v>
      </c>
      <c r="H974">
        <v>4895</v>
      </c>
      <c r="I974">
        <v>141955</v>
      </c>
      <c r="J974">
        <v>152</v>
      </c>
      <c r="K974">
        <v>6</v>
      </c>
      <c r="L974" t="s">
        <v>17</v>
      </c>
      <c r="M974" t="str">
        <f t="shared" si="30"/>
        <v>Available</v>
      </c>
      <c r="N974">
        <f t="shared" si="31"/>
        <v>28391</v>
      </c>
    </row>
    <row r="975" spans="1:14" x14ac:dyDescent="0.3">
      <c r="A975" t="s">
        <v>1015</v>
      </c>
      <c r="B975" s="1">
        <v>45953</v>
      </c>
      <c r="C975" t="s">
        <v>26</v>
      </c>
      <c r="D975" t="s">
        <v>31</v>
      </c>
      <c r="E975" t="s">
        <v>45</v>
      </c>
      <c r="F975" t="s">
        <v>21</v>
      </c>
      <c r="G975">
        <v>15</v>
      </c>
      <c r="H975">
        <v>1279</v>
      </c>
      <c r="I975">
        <v>19185</v>
      </c>
      <c r="J975">
        <v>269</v>
      </c>
      <c r="K975">
        <v>7</v>
      </c>
      <c r="L975" t="s">
        <v>17</v>
      </c>
      <c r="M975" t="str">
        <f t="shared" si="30"/>
        <v>Available</v>
      </c>
      <c r="N975">
        <f t="shared" si="31"/>
        <v>3837</v>
      </c>
    </row>
    <row r="976" spans="1:14" x14ac:dyDescent="0.3">
      <c r="A976" t="s">
        <v>1016</v>
      </c>
      <c r="B976" s="1">
        <v>45873</v>
      </c>
      <c r="C976" t="s">
        <v>26</v>
      </c>
      <c r="D976" t="s">
        <v>14</v>
      </c>
      <c r="E976" t="s">
        <v>42</v>
      </c>
      <c r="F976" t="s">
        <v>29</v>
      </c>
      <c r="G976">
        <v>48</v>
      </c>
      <c r="H976">
        <v>3705</v>
      </c>
      <c r="I976">
        <v>177840</v>
      </c>
      <c r="J976">
        <v>188</v>
      </c>
      <c r="K976">
        <v>9</v>
      </c>
      <c r="L976" t="s">
        <v>17</v>
      </c>
      <c r="M976" t="str">
        <f t="shared" si="30"/>
        <v>Available</v>
      </c>
      <c r="N976">
        <f t="shared" si="31"/>
        <v>35568</v>
      </c>
    </row>
    <row r="977" spans="1:14" x14ac:dyDescent="0.3">
      <c r="A977" t="s">
        <v>1017</v>
      </c>
      <c r="B977" s="1">
        <v>45797</v>
      </c>
      <c r="C977" t="s">
        <v>19</v>
      </c>
      <c r="D977" t="s">
        <v>51</v>
      </c>
      <c r="E977" t="s">
        <v>66</v>
      </c>
      <c r="F977" t="s">
        <v>24</v>
      </c>
      <c r="G977">
        <v>8</v>
      </c>
      <c r="H977">
        <v>3546</v>
      </c>
      <c r="I977">
        <v>28368</v>
      </c>
      <c r="J977">
        <v>30</v>
      </c>
      <c r="K977">
        <v>10</v>
      </c>
      <c r="L977" t="s">
        <v>17</v>
      </c>
      <c r="M977" t="str">
        <f t="shared" si="30"/>
        <v>Reorder</v>
      </c>
      <c r="N977">
        <f t="shared" si="31"/>
        <v>5673.6</v>
      </c>
    </row>
    <row r="978" spans="1:14" x14ac:dyDescent="0.3">
      <c r="A978" t="s">
        <v>1018</v>
      </c>
      <c r="B978" s="1">
        <v>45953</v>
      </c>
      <c r="C978" t="s">
        <v>38</v>
      </c>
      <c r="D978" t="s">
        <v>51</v>
      </c>
      <c r="E978" t="s">
        <v>90</v>
      </c>
      <c r="F978" t="s">
        <v>24</v>
      </c>
      <c r="G978">
        <v>42</v>
      </c>
      <c r="H978">
        <v>2108</v>
      </c>
      <c r="I978">
        <v>88536</v>
      </c>
      <c r="J978">
        <v>46</v>
      </c>
      <c r="K978">
        <v>4</v>
      </c>
      <c r="L978" t="s">
        <v>22</v>
      </c>
      <c r="M978" t="str">
        <f t="shared" si="30"/>
        <v>Reorder</v>
      </c>
      <c r="N978">
        <f t="shared" si="31"/>
        <v>17707.2</v>
      </c>
    </row>
    <row r="979" spans="1:14" x14ac:dyDescent="0.3">
      <c r="A979" t="s">
        <v>1019</v>
      </c>
      <c r="B979" s="1">
        <v>46020</v>
      </c>
      <c r="C979" t="s">
        <v>38</v>
      </c>
      <c r="D979" t="s">
        <v>27</v>
      </c>
      <c r="E979" t="s">
        <v>83</v>
      </c>
      <c r="F979" t="s">
        <v>29</v>
      </c>
      <c r="G979">
        <v>44</v>
      </c>
      <c r="H979">
        <v>3352</v>
      </c>
      <c r="I979">
        <v>147488</v>
      </c>
      <c r="J979">
        <v>178</v>
      </c>
      <c r="K979">
        <v>8</v>
      </c>
      <c r="L979" t="s">
        <v>17</v>
      </c>
      <c r="M979" t="str">
        <f t="shared" si="30"/>
        <v>Available</v>
      </c>
      <c r="N979">
        <f t="shared" si="31"/>
        <v>29497.600000000002</v>
      </c>
    </row>
    <row r="980" spans="1:14" x14ac:dyDescent="0.3">
      <c r="A980" t="s">
        <v>1020</v>
      </c>
      <c r="B980" s="1">
        <v>45659</v>
      </c>
      <c r="C980" t="s">
        <v>13</v>
      </c>
      <c r="D980" t="s">
        <v>31</v>
      </c>
      <c r="E980" t="s">
        <v>45</v>
      </c>
      <c r="F980" t="s">
        <v>29</v>
      </c>
      <c r="G980">
        <v>44</v>
      </c>
      <c r="H980">
        <v>4445</v>
      </c>
      <c r="I980">
        <v>195580</v>
      </c>
      <c r="J980">
        <v>275</v>
      </c>
      <c r="K980">
        <v>3</v>
      </c>
      <c r="L980" t="s">
        <v>22</v>
      </c>
      <c r="M980" t="str">
        <f t="shared" si="30"/>
        <v>Available</v>
      </c>
      <c r="N980">
        <f t="shared" si="31"/>
        <v>39116</v>
      </c>
    </row>
    <row r="981" spans="1:14" x14ac:dyDescent="0.3">
      <c r="A981" t="s">
        <v>1021</v>
      </c>
      <c r="B981" s="1">
        <v>45690</v>
      </c>
      <c r="C981" t="s">
        <v>38</v>
      </c>
      <c r="D981" t="s">
        <v>31</v>
      </c>
      <c r="E981" t="s">
        <v>40</v>
      </c>
      <c r="F981" t="s">
        <v>16</v>
      </c>
      <c r="G981">
        <v>43</v>
      </c>
      <c r="H981">
        <v>4985</v>
      </c>
      <c r="I981">
        <v>214355</v>
      </c>
      <c r="J981">
        <v>271</v>
      </c>
      <c r="K981">
        <v>5</v>
      </c>
      <c r="L981" t="s">
        <v>22</v>
      </c>
      <c r="M981" t="str">
        <f t="shared" si="30"/>
        <v>Available</v>
      </c>
      <c r="N981">
        <f t="shared" si="31"/>
        <v>42871</v>
      </c>
    </row>
    <row r="982" spans="1:14" x14ac:dyDescent="0.3">
      <c r="A982" t="s">
        <v>1022</v>
      </c>
      <c r="B982" s="1">
        <v>45879</v>
      </c>
      <c r="C982" t="s">
        <v>19</v>
      </c>
      <c r="D982" t="s">
        <v>31</v>
      </c>
      <c r="E982" t="s">
        <v>32</v>
      </c>
      <c r="F982" t="s">
        <v>21</v>
      </c>
      <c r="G982">
        <v>49</v>
      </c>
      <c r="H982">
        <v>3039</v>
      </c>
      <c r="I982">
        <v>148911</v>
      </c>
      <c r="J982">
        <v>104</v>
      </c>
      <c r="K982">
        <v>3</v>
      </c>
      <c r="L982" t="s">
        <v>22</v>
      </c>
      <c r="M982" t="str">
        <f t="shared" si="30"/>
        <v>Available</v>
      </c>
      <c r="N982">
        <f t="shared" si="31"/>
        <v>29782.2</v>
      </c>
    </row>
    <row r="983" spans="1:14" x14ac:dyDescent="0.3">
      <c r="A983" t="s">
        <v>1023</v>
      </c>
      <c r="B983" s="1">
        <v>45950</v>
      </c>
      <c r="C983" t="s">
        <v>38</v>
      </c>
      <c r="D983" t="s">
        <v>14</v>
      </c>
      <c r="E983" t="s">
        <v>58</v>
      </c>
      <c r="F983" t="s">
        <v>24</v>
      </c>
      <c r="G983">
        <v>21</v>
      </c>
      <c r="H983">
        <v>613</v>
      </c>
      <c r="I983">
        <v>12873</v>
      </c>
      <c r="J983">
        <v>185</v>
      </c>
      <c r="K983">
        <v>2</v>
      </c>
      <c r="L983" t="s">
        <v>22</v>
      </c>
      <c r="M983" t="str">
        <f t="shared" si="30"/>
        <v>Available</v>
      </c>
      <c r="N983">
        <f t="shared" si="31"/>
        <v>2574.6000000000004</v>
      </c>
    </row>
    <row r="984" spans="1:14" x14ac:dyDescent="0.3">
      <c r="A984" t="s">
        <v>1024</v>
      </c>
      <c r="B984" s="1">
        <v>45700</v>
      </c>
      <c r="C984" t="s">
        <v>26</v>
      </c>
      <c r="D984" t="s">
        <v>27</v>
      </c>
      <c r="E984" t="s">
        <v>83</v>
      </c>
      <c r="F984" t="s">
        <v>24</v>
      </c>
      <c r="G984">
        <v>20</v>
      </c>
      <c r="H984">
        <v>2558</v>
      </c>
      <c r="I984">
        <v>51160</v>
      </c>
      <c r="J984">
        <v>95</v>
      </c>
      <c r="K984">
        <v>2</v>
      </c>
      <c r="L984" t="s">
        <v>22</v>
      </c>
      <c r="M984" t="str">
        <f t="shared" si="30"/>
        <v>Available</v>
      </c>
      <c r="N984">
        <f t="shared" si="31"/>
        <v>10232</v>
      </c>
    </row>
    <row r="985" spans="1:14" x14ac:dyDescent="0.3">
      <c r="A985" t="s">
        <v>1025</v>
      </c>
      <c r="B985" s="1">
        <v>45807</v>
      </c>
      <c r="C985" t="s">
        <v>38</v>
      </c>
      <c r="D985" t="s">
        <v>51</v>
      </c>
      <c r="E985" t="s">
        <v>52</v>
      </c>
      <c r="F985" t="s">
        <v>16</v>
      </c>
      <c r="G985">
        <v>15</v>
      </c>
      <c r="H985">
        <v>569</v>
      </c>
      <c r="I985">
        <v>8535</v>
      </c>
      <c r="J985">
        <v>200</v>
      </c>
      <c r="K985">
        <v>6</v>
      </c>
      <c r="L985" t="s">
        <v>17</v>
      </c>
      <c r="M985" t="str">
        <f t="shared" si="30"/>
        <v>Available</v>
      </c>
      <c r="N985">
        <f t="shared" si="31"/>
        <v>1707</v>
      </c>
    </row>
    <row r="986" spans="1:14" x14ac:dyDescent="0.3">
      <c r="A986" t="s">
        <v>1026</v>
      </c>
      <c r="B986" s="1">
        <v>46019</v>
      </c>
      <c r="C986" t="s">
        <v>13</v>
      </c>
      <c r="D986" t="s">
        <v>51</v>
      </c>
      <c r="E986" t="s">
        <v>90</v>
      </c>
      <c r="F986" t="s">
        <v>24</v>
      </c>
      <c r="G986">
        <v>3</v>
      </c>
      <c r="H986">
        <v>3078</v>
      </c>
      <c r="I986">
        <v>9234</v>
      </c>
      <c r="J986">
        <v>119</v>
      </c>
      <c r="K986">
        <v>3</v>
      </c>
      <c r="L986" t="s">
        <v>22</v>
      </c>
      <c r="M986" t="str">
        <f t="shared" si="30"/>
        <v>Available</v>
      </c>
      <c r="N986">
        <f t="shared" si="31"/>
        <v>1846.8000000000002</v>
      </c>
    </row>
    <row r="987" spans="1:14" x14ac:dyDescent="0.3">
      <c r="A987" t="s">
        <v>1027</v>
      </c>
      <c r="B987" s="1">
        <v>45879</v>
      </c>
      <c r="C987" t="s">
        <v>26</v>
      </c>
      <c r="D987" t="s">
        <v>31</v>
      </c>
      <c r="E987" t="s">
        <v>32</v>
      </c>
      <c r="F987" t="s">
        <v>21</v>
      </c>
      <c r="G987">
        <v>37</v>
      </c>
      <c r="H987">
        <v>2368</v>
      </c>
      <c r="I987">
        <v>87616</v>
      </c>
      <c r="J987">
        <v>127</v>
      </c>
      <c r="K987">
        <v>3</v>
      </c>
      <c r="L987" t="s">
        <v>22</v>
      </c>
      <c r="M987" t="str">
        <f t="shared" si="30"/>
        <v>Available</v>
      </c>
      <c r="N987">
        <f t="shared" si="31"/>
        <v>17523.2</v>
      </c>
    </row>
    <row r="988" spans="1:14" x14ac:dyDescent="0.3">
      <c r="A988" t="s">
        <v>1028</v>
      </c>
      <c r="B988" s="1">
        <v>45690</v>
      </c>
      <c r="C988" t="s">
        <v>26</v>
      </c>
      <c r="D988" t="s">
        <v>31</v>
      </c>
      <c r="E988" t="s">
        <v>32</v>
      </c>
      <c r="F988" t="s">
        <v>21</v>
      </c>
      <c r="G988">
        <v>33</v>
      </c>
      <c r="H988">
        <v>2800</v>
      </c>
      <c r="I988">
        <v>92400</v>
      </c>
      <c r="J988">
        <v>16</v>
      </c>
      <c r="K988">
        <v>10</v>
      </c>
      <c r="L988" t="s">
        <v>17</v>
      </c>
      <c r="M988" t="str">
        <f t="shared" si="30"/>
        <v>Reorder</v>
      </c>
      <c r="N988">
        <f t="shared" si="31"/>
        <v>18480</v>
      </c>
    </row>
    <row r="989" spans="1:14" x14ac:dyDescent="0.3">
      <c r="A989" t="s">
        <v>1029</v>
      </c>
      <c r="B989" s="1">
        <v>45787</v>
      </c>
      <c r="C989" t="s">
        <v>38</v>
      </c>
      <c r="D989" t="s">
        <v>51</v>
      </c>
      <c r="E989" t="s">
        <v>66</v>
      </c>
      <c r="F989" t="s">
        <v>16</v>
      </c>
      <c r="G989">
        <v>6</v>
      </c>
      <c r="H989">
        <v>2990</v>
      </c>
      <c r="I989">
        <v>17940</v>
      </c>
      <c r="J989">
        <v>255</v>
      </c>
      <c r="K989">
        <v>5</v>
      </c>
      <c r="L989" t="s">
        <v>22</v>
      </c>
      <c r="M989" t="str">
        <f t="shared" si="30"/>
        <v>Available</v>
      </c>
      <c r="N989">
        <f t="shared" si="31"/>
        <v>3588</v>
      </c>
    </row>
    <row r="990" spans="1:14" x14ac:dyDescent="0.3">
      <c r="A990" t="s">
        <v>1030</v>
      </c>
      <c r="B990" s="1">
        <v>45734</v>
      </c>
      <c r="C990" t="s">
        <v>38</v>
      </c>
      <c r="D990" t="s">
        <v>31</v>
      </c>
      <c r="E990" t="s">
        <v>45</v>
      </c>
      <c r="F990" t="s">
        <v>24</v>
      </c>
      <c r="G990">
        <v>22</v>
      </c>
      <c r="H990">
        <v>2406</v>
      </c>
      <c r="I990">
        <v>52932</v>
      </c>
      <c r="J990">
        <v>269</v>
      </c>
      <c r="K990">
        <v>8</v>
      </c>
      <c r="L990" t="s">
        <v>17</v>
      </c>
      <c r="M990" t="str">
        <f t="shared" si="30"/>
        <v>Available</v>
      </c>
      <c r="N990">
        <f t="shared" si="31"/>
        <v>10586.400000000001</v>
      </c>
    </row>
    <row r="991" spans="1:14" x14ac:dyDescent="0.3">
      <c r="A991" t="s">
        <v>1031</v>
      </c>
      <c r="B991" s="1">
        <v>45664</v>
      </c>
      <c r="C991" t="s">
        <v>19</v>
      </c>
      <c r="D991" t="s">
        <v>51</v>
      </c>
      <c r="E991" t="s">
        <v>90</v>
      </c>
      <c r="F991" t="s">
        <v>16</v>
      </c>
      <c r="G991">
        <v>4</v>
      </c>
      <c r="H991">
        <v>3467</v>
      </c>
      <c r="I991">
        <v>13868</v>
      </c>
      <c r="J991">
        <v>87</v>
      </c>
      <c r="K991">
        <v>2</v>
      </c>
      <c r="L991" t="s">
        <v>22</v>
      </c>
      <c r="M991" t="str">
        <f t="shared" si="30"/>
        <v>Available</v>
      </c>
      <c r="N991">
        <f t="shared" si="31"/>
        <v>2773.6000000000004</v>
      </c>
    </row>
    <row r="992" spans="1:14" x14ac:dyDescent="0.3">
      <c r="A992" t="s">
        <v>1032</v>
      </c>
      <c r="B992" s="1">
        <v>45934</v>
      </c>
      <c r="C992" t="s">
        <v>38</v>
      </c>
      <c r="D992" t="s">
        <v>14</v>
      </c>
      <c r="E992" t="s">
        <v>20</v>
      </c>
      <c r="F992" t="s">
        <v>21</v>
      </c>
      <c r="G992">
        <v>50</v>
      </c>
      <c r="H992">
        <v>2808</v>
      </c>
      <c r="I992">
        <v>140400</v>
      </c>
      <c r="J992">
        <v>262</v>
      </c>
      <c r="K992">
        <v>2</v>
      </c>
      <c r="L992" t="s">
        <v>22</v>
      </c>
      <c r="M992" t="str">
        <f t="shared" si="30"/>
        <v>Available</v>
      </c>
      <c r="N992">
        <f t="shared" si="31"/>
        <v>28080</v>
      </c>
    </row>
    <row r="993" spans="1:14" x14ac:dyDescent="0.3">
      <c r="A993" t="s">
        <v>1033</v>
      </c>
      <c r="B993" s="1">
        <v>46003</v>
      </c>
      <c r="C993" t="s">
        <v>38</v>
      </c>
      <c r="D993" t="s">
        <v>27</v>
      </c>
      <c r="E993" t="s">
        <v>83</v>
      </c>
      <c r="F993" t="s">
        <v>29</v>
      </c>
      <c r="G993">
        <v>42</v>
      </c>
      <c r="H993">
        <v>4150</v>
      </c>
      <c r="I993">
        <v>174300</v>
      </c>
      <c r="J993">
        <v>200</v>
      </c>
      <c r="K993">
        <v>6</v>
      </c>
      <c r="L993" t="s">
        <v>17</v>
      </c>
      <c r="M993" t="str">
        <f t="shared" si="30"/>
        <v>Available</v>
      </c>
      <c r="N993">
        <f t="shared" si="31"/>
        <v>34860</v>
      </c>
    </row>
    <row r="994" spans="1:14" x14ac:dyDescent="0.3">
      <c r="A994" t="s">
        <v>1034</v>
      </c>
      <c r="B994" s="1">
        <v>45674</v>
      </c>
      <c r="C994" t="s">
        <v>38</v>
      </c>
      <c r="D994" t="s">
        <v>14</v>
      </c>
      <c r="E994" t="s">
        <v>42</v>
      </c>
      <c r="F994" t="s">
        <v>24</v>
      </c>
      <c r="G994">
        <v>29</v>
      </c>
      <c r="H994">
        <v>3267</v>
      </c>
      <c r="I994">
        <v>94743</v>
      </c>
      <c r="J994">
        <v>167</v>
      </c>
      <c r="K994">
        <v>2</v>
      </c>
      <c r="L994" t="s">
        <v>22</v>
      </c>
      <c r="M994" t="str">
        <f t="shared" si="30"/>
        <v>Available</v>
      </c>
      <c r="N994">
        <f t="shared" si="31"/>
        <v>18948.600000000002</v>
      </c>
    </row>
    <row r="995" spans="1:14" x14ac:dyDescent="0.3">
      <c r="A995" t="s">
        <v>1035</v>
      </c>
      <c r="B995" s="1">
        <v>45966</v>
      </c>
      <c r="C995" t="s">
        <v>26</v>
      </c>
      <c r="D995" t="s">
        <v>31</v>
      </c>
      <c r="E995" t="s">
        <v>32</v>
      </c>
      <c r="F995" t="s">
        <v>16</v>
      </c>
      <c r="G995">
        <v>44</v>
      </c>
      <c r="H995">
        <v>4303</v>
      </c>
      <c r="I995">
        <v>189332</v>
      </c>
      <c r="J995">
        <v>95</v>
      </c>
      <c r="K995">
        <v>6</v>
      </c>
      <c r="L995" t="s">
        <v>17</v>
      </c>
      <c r="M995" t="str">
        <f t="shared" si="30"/>
        <v>Available</v>
      </c>
      <c r="N995">
        <f t="shared" si="31"/>
        <v>37866.400000000001</v>
      </c>
    </row>
    <row r="996" spans="1:14" x14ac:dyDescent="0.3">
      <c r="A996" t="s">
        <v>1036</v>
      </c>
      <c r="B996" s="1">
        <v>45740</v>
      </c>
      <c r="C996" t="s">
        <v>19</v>
      </c>
      <c r="D996" t="s">
        <v>27</v>
      </c>
      <c r="E996" t="s">
        <v>83</v>
      </c>
      <c r="F996" t="s">
        <v>24</v>
      </c>
      <c r="G996">
        <v>50</v>
      </c>
      <c r="H996">
        <v>4524</v>
      </c>
      <c r="I996">
        <v>226200</v>
      </c>
      <c r="J996">
        <v>295</v>
      </c>
      <c r="K996">
        <v>9</v>
      </c>
      <c r="L996" t="s">
        <v>17</v>
      </c>
      <c r="M996" t="str">
        <f t="shared" si="30"/>
        <v>Available</v>
      </c>
      <c r="N996">
        <f t="shared" si="31"/>
        <v>45240</v>
      </c>
    </row>
    <row r="997" spans="1:14" x14ac:dyDescent="0.3">
      <c r="A997" t="s">
        <v>1037</v>
      </c>
      <c r="B997" s="1">
        <v>45756</v>
      </c>
      <c r="C997" t="s">
        <v>26</v>
      </c>
      <c r="D997" t="s">
        <v>14</v>
      </c>
      <c r="E997" t="s">
        <v>42</v>
      </c>
      <c r="F997" t="s">
        <v>21</v>
      </c>
      <c r="G997">
        <v>42</v>
      </c>
      <c r="H997">
        <v>4474</v>
      </c>
      <c r="I997">
        <v>187908</v>
      </c>
      <c r="J997">
        <v>148</v>
      </c>
      <c r="K997">
        <v>2</v>
      </c>
      <c r="L997" t="s">
        <v>22</v>
      </c>
      <c r="M997" t="str">
        <f t="shared" si="30"/>
        <v>Available</v>
      </c>
      <c r="N997">
        <f t="shared" si="31"/>
        <v>37581.599999999999</v>
      </c>
    </row>
    <row r="998" spans="1:14" x14ac:dyDescent="0.3">
      <c r="A998" t="s">
        <v>1038</v>
      </c>
      <c r="B998" s="1">
        <v>45979</v>
      </c>
      <c r="C998" t="s">
        <v>13</v>
      </c>
      <c r="D998" t="s">
        <v>14</v>
      </c>
      <c r="E998" t="s">
        <v>20</v>
      </c>
      <c r="F998" t="s">
        <v>16</v>
      </c>
      <c r="G998">
        <v>41</v>
      </c>
      <c r="H998">
        <v>4183</v>
      </c>
      <c r="I998">
        <v>171503</v>
      </c>
      <c r="J998">
        <v>56</v>
      </c>
      <c r="K998">
        <v>5</v>
      </c>
      <c r="L998" t="s">
        <v>22</v>
      </c>
      <c r="M998" t="str">
        <f t="shared" si="30"/>
        <v>Available</v>
      </c>
      <c r="N998">
        <f t="shared" si="31"/>
        <v>34300.6</v>
      </c>
    </row>
    <row r="999" spans="1:14" x14ac:dyDescent="0.3">
      <c r="A999" t="s">
        <v>1039</v>
      </c>
      <c r="B999" s="1">
        <v>45710</v>
      </c>
      <c r="C999" t="s">
        <v>13</v>
      </c>
      <c r="D999" t="s">
        <v>14</v>
      </c>
      <c r="E999" t="s">
        <v>20</v>
      </c>
      <c r="F999" t="s">
        <v>29</v>
      </c>
      <c r="G999">
        <v>47</v>
      </c>
      <c r="H999">
        <v>2009</v>
      </c>
      <c r="I999">
        <v>94423</v>
      </c>
      <c r="J999">
        <v>280</v>
      </c>
      <c r="K999">
        <v>3</v>
      </c>
      <c r="L999" t="s">
        <v>22</v>
      </c>
      <c r="M999" t="str">
        <f t="shared" si="30"/>
        <v>Available</v>
      </c>
      <c r="N999">
        <f t="shared" si="31"/>
        <v>18884.600000000002</v>
      </c>
    </row>
    <row r="1000" spans="1:14" x14ac:dyDescent="0.3">
      <c r="A1000" t="s">
        <v>1040</v>
      </c>
      <c r="B1000" s="1">
        <v>45720</v>
      </c>
      <c r="C1000" t="s">
        <v>19</v>
      </c>
      <c r="D1000" t="s">
        <v>51</v>
      </c>
      <c r="E1000" t="s">
        <v>90</v>
      </c>
      <c r="F1000" t="s">
        <v>29</v>
      </c>
      <c r="G1000">
        <v>25</v>
      </c>
      <c r="H1000">
        <v>1386</v>
      </c>
      <c r="I1000">
        <v>34650</v>
      </c>
      <c r="J1000">
        <v>232</v>
      </c>
      <c r="K1000">
        <v>3</v>
      </c>
      <c r="L1000" t="s">
        <v>22</v>
      </c>
      <c r="M1000" t="str">
        <f t="shared" si="30"/>
        <v>Available</v>
      </c>
      <c r="N1000">
        <f t="shared" si="31"/>
        <v>6930</v>
      </c>
    </row>
    <row r="1001" spans="1:14" x14ac:dyDescent="0.3">
      <c r="A1001" t="s">
        <v>1041</v>
      </c>
      <c r="B1001" s="1">
        <v>45919</v>
      </c>
      <c r="C1001" t="s">
        <v>13</v>
      </c>
      <c r="D1001" t="s">
        <v>31</v>
      </c>
      <c r="E1001" t="s">
        <v>32</v>
      </c>
      <c r="F1001" t="s">
        <v>21</v>
      </c>
      <c r="G1001">
        <v>40</v>
      </c>
      <c r="H1001">
        <v>3412</v>
      </c>
      <c r="I1001">
        <v>136480</v>
      </c>
      <c r="J1001">
        <v>96</v>
      </c>
      <c r="K1001">
        <v>6</v>
      </c>
      <c r="L1001" t="s">
        <v>17</v>
      </c>
      <c r="M1001" t="str">
        <f t="shared" si="30"/>
        <v>Available</v>
      </c>
      <c r="N1001">
        <f t="shared" si="31"/>
        <v>27296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8697-14F8-404F-9600-2A4E95A0A203}">
  <dimension ref="A1:I43"/>
  <sheetViews>
    <sheetView topLeftCell="A31" workbookViewId="0">
      <selection activeCell="G16" sqref="G16"/>
    </sheetView>
  </sheetViews>
  <sheetFormatPr defaultRowHeight="14.4" x14ac:dyDescent="0.3"/>
  <cols>
    <col min="1" max="1" width="12.5546875" bestFit="1" customWidth="1"/>
    <col min="2" max="2" width="14.88671875" bestFit="1" customWidth="1"/>
    <col min="3" max="3" width="10.21875" customWidth="1"/>
    <col min="4" max="4" width="12.5546875" bestFit="1" customWidth="1"/>
    <col min="5" max="5" width="16.44140625" bestFit="1" customWidth="1"/>
    <col min="6" max="6" width="14.88671875" bestFit="1" customWidth="1"/>
    <col min="7" max="7" width="10" customWidth="1"/>
    <col min="8" max="8" width="12.5546875" bestFit="1" customWidth="1"/>
    <col min="9" max="11" width="14.88671875" bestFit="1" customWidth="1"/>
  </cols>
  <sheetData>
    <row r="1" spans="1:9" ht="18" x14ac:dyDescent="0.35">
      <c r="A1" s="11" t="s">
        <v>1065</v>
      </c>
      <c r="B1" s="12"/>
      <c r="D1" s="11" t="s">
        <v>1066</v>
      </c>
      <c r="E1" s="13"/>
      <c r="F1" s="13"/>
      <c r="H1" s="7" t="s">
        <v>1067</v>
      </c>
      <c r="I1" s="6"/>
    </row>
    <row r="2" spans="1:9" x14ac:dyDescent="0.3">
      <c r="A2" s="2" t="s">
        <v>1044</v>
      </c>
      <c r="B2" t="s">
        <v>1058</v>
      </c>
      <c r="D2" s="2" t="s">
        <v>1044</v>
      </c>
      <c r="E2" t="s">
        <v>1058</v>
      </c>
      <c r="F2" t="s">
        <v>1059</v>
      </c>
      <c r="H2" s="2" t="s">
        <v>1044</v>
      </c>
      <c r="I2" t="s">
        <v>1058</v>
      </c>
    </row>
    <row r="3" spans="1:9" x14ac:dyDescent="0.3">
      <c r="A3" s="3" t="s">
        <v>1060</v>
      </c>
      <c r="B3" s="14">
        <v>69300965</v>
      </c>
      <c r="D3" s="3" t="s">
        <v>38</v>
      </c>
      <c r="E3" s="14">
        <v>17044450</v>
      </c>
      <c r="F3" s="14">
        <v>5868</v>
      </c>
      <c r="H3" s="3" t="s">
        <v>21</v>
      </c>
      <c r="I3" s="14">
        <v>16722266</v>
      </c>
    </row>
    <row r="4" spans="1:9" x14ac:dyDescent="0.3">
      <c r="A4" s="4" t="s">
        <v>1046</v>
      </c>
      <c r="B4" s="14">
        <v>5197852</v>
      </c>
      <c r="D4" s="3" t="s">
        <v>19</v>
      </c>
      <c r="E4" s="14">
        <v>17885462</v>
      </c>
      <c r="F4" s="14">
        <v>6656</v>
      </c>
      <c r="H4" s="3" t="s">
        <v>29</v>
      </c>
      <c r="I4" s="14">
        <v>17121177</v>
      </c>
    </row>
    <row r="5" spans="1:9" x14ac:dyDescent="0.3">
      <c r="A5" s="4" t="s">
        <v>1047</v>
      </c>
      <c r="B5" s="14">
        <v>5986024</v>
      </c>
      <c r="D5" s="3" t="s">
        <v>26</v>
      </c>
      <c r="E5" s="14">
        <v>16358836</v>
      </c>
      <c r="F5" s="14">
        <v>6130</v>
      </c>
      <c r="H5" s="3" t="s">
        <v>24</v>
      </c>
      <c r="I5" s="14">
        <v>16741823</v>
      </c>
    </row>
    <row r="6" spans="1:9" x14ac:dyDescent="0.3">
      <c r="A6" s="4" t="s">
        <v>1048</v>
      </c>
      <c r="B6" s="14">
        <v>6089686</v>
      </c>
      <c r="D6" s="3" t="s">
        <v>13</v>
      </c>
      <c r="E6" s="14">
        <v>18012217</v>
      </c>
      <c r="F6" s="14">
        <v>6479</v>
      </c>
      <c r="H6" s="3" t="s">
        <v>16</v>
      </c>
      <c r="I6" s="14">
        <v>18715699</v>
      </c>
    </row>
    <row r="7" spans="1:9" x14ac:dyDescent="0.3">
      <c r="A7" s="4" t="s">
        <v>1049</v>
      </c>
      <c r="B7" s="14">
        <v>5329978</v>
      </c>
      <c r="D7" s="3" t="s">
        <v>1045</v>
      </c>
      <c r="E7" s="14">
        <v>69300965</v>
      </c>
      <c r="F7" s="14">
        <v>25133</v>
      </c>
      <c r="H7" s="3" t="s">
        <v>1045</v>
      </c>
      <c r="I7" s="14">
        <v>69300965</v>
      </c>
    </row>
    <row r="8" spans="1:9" x14ac:dyDescent="0.3">
      <c r="A8" s="4" t="s">
        <v>1050</v>
      </c>
      <c r="B8" s="14">
        <v>6491666</v>
      </c>
    </row>
    <row r="9" spans="1:9" x14ac:dyDescent="0.3">
      <c r="A9" s="4" t="s">
        <v>1051</v>
      </c>
      <c r="B9" s="14">
        <v>5895433</v>
      </c>
    </row>
    <row r="10" spans="1:9" x14ac:dyDescent="0.3">
      <c r="A10" s="4" t="s">
        <v>1052</v>
      </c>
      <c r="B10" s="14">
        <v>4646552</v>
      </c>
    </row>
    <row r="11" spans="1:9" x14ac:dyDescent="0.3">
      <c r="A11" s="4" t="s">
        <v>1053</v>
      </c>
      <c r="B11" s="14">
        <v>6795226</v>
      </c>
    </row>
    <row r="12" spans="1:9" ht="18" x14ac:dyDescent="0.35">
      <c r="A12" s="4" t="s">
        <v>1054</v>
      </c>
      <c r="B12" s="14">
        <v>5605395</v>
      </c>
      <c r="D12" s="11" t="s">
        <v>1068</v>
      </c>
      <c r="E12" s="12"/>
      <c r="G12" s="6"/>
      <c r="H12" s="7" t="s">
        <v>1067</v>
      </c>
      <c r="I12" s="6"/>
    </row>
    <row r="13" spans="1:9" x14ac:dyDescent="0.3">
      <c r="A13" s="4" t="s">
        <v>1055</v>
      </c>
      <c r="B13" s="14">
        <v>6192552</v>
      </c>
      <c r="D13" s="2" t="s">
        <v>1044</v>
      </c>
      <c r="E13" t="s">
        <v>1064</v>
      </c>
      <c r="H13" s="2" t="s">
        <v>1044</v>
      </c>
      <c r="I13" t="s">
        <v>1061</v>
      </c>
    </row>
    <row r="14" spans="1:9" x14ac:dyDescent="0.3">
      <c r="A14" s="4" t="s">
        <v>1056</v>
      </c>
      <c r="B14" s="14">
        <v>5069089</v>
      </c>
      <c r="D14" s="3" t="s">
        <v>1062</v>
      </c>
      <c r="E14" s="14">
        <v>875</v>
      </c>
      <c r="H14" s="3" t="s">
        <v>16</v>
      </c>
      <c r="I14" s="8">
        <v>5.911290322580645</v>
      </c>
    </row>
    <row r="15" spans="1:9" x14ac:dyDescent="0.3">
      <c r="A15" s="4" t="s">
        <v>1057</v>
      </c>
      <c r="B15" s="14">
        <v>6001512</v>
      </c>
      <c r="D15" s="3" t="s">
        <v>1063</v>
      </c>
      <c r="E15" s="14">
        <v>125</v>
      </c>
      <c r="H15" s="3" t="s">
        <v>24</v>
      </c>
      <c r="I15" s="8">
        <v>6.0156862745098039</v>
      </c>
    </row>
    <row r="16" spans="1:9" x14ac:dyDescent="0.3">
      <c r="A16" s="3" t="s">
        <v>1045</v>
      </c>
      <c r="B16" s="14">
        <v>69300965</v>
      </c>
      <c r="D16" s="3" t="s">
        <v>1045</v>
      </c>
      <c r="E16" s="14">
        <v>1000</v>
      </c>
      <c r="H16" s="3" t="s">
        <v>29</v>
      </c>
      <c r="I16" s="8">
        <v>5.7815126050420167</v>
      </c>
    </row>
    <row r="17" spans="8:9" x14ac:dyDescent="0.3">
      <c r="H17" s="3" t="s">
        <v>21</v>
      </c>
      <c r="I17" s="8">
        <v>5.8648648648648649</v>
      </c>
    </row>
    <row r="18" spans="8:9" x14ac:dyDescent="0.3">
      <c r="H18" s="3" t="s">
        <v>1045</v>
      </c>
      <c r="I18" s="14">
        <v>5.8949999999999996</v>
      </c>
    </row>
    <row r="40" spans="8:8" x14ac:dyDescent="0.3">
      <c r="H40" s="9">
        <f>SUM(Raw_Data!I:I)</f>
        <v>69300965</v>
      </c>
    </row>
    <row r="41" spans="8:8" x14ac:dyDescent="0.3">
      <c r="H41">
        <f>COUNTA(Raw_Data!A:A)-1</f>
        <v>1000</v>
      </c>
    </row>
    <row r="42" spans="8:8" x14ac:dyDescent="0.3">
      <c r="H42" s="10">
        <f>COUNTIF(Raw_Data!L:L,"On Time")/(COUNTA(Raw_Data!L:L)-1)</f>
        <v>0.46200000000000002</v>
      </c>
    </row>
    <row r="43" spans="8:8" x14ac:dyDescent="0.3">
      <c r="H43">
        <f>COUNTIF(Raw_Data!M:M,"Reorder")</f>
        <v>125</v>
      </c>
    </row>
  </sheetData>
  <mergeCells count="3">
    <mergeCell ref="A1:B1"/>
    <mergeCell ref="D1:F1"/>
    <mergeCell ref="D12:E12"/>
  </mergeCells>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CFEA-7B63-4AB3-BD4F-566C4BE6DCF2}">
  <dimension ref="A1:W41"/>
  <sheetViews>
    <sheetView tabSelected="1" zoomScale="80" workbookViewId="0">
      <selection activeCell="S23" sqref="S23"/>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Shaheer Mustafa</cp:lastModifiedBy>
  <dcterms:created xsi:type="dcterms:W3CDTF">2026-05-15T14:29:32Z</dcterms:created>
  <dcterms:modified xsi:type="dcterms:W3CDTF">2026-06-12T15:38:39Z</dcterms:modified>
</cp:coreProperties>
</file>